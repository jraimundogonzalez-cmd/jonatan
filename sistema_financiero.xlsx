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 DE USO" sheetId="1" state="visible" r:id="rId1"/>
    <sheet name="DASHBOARD EJECUTIVO" sheetId="2" state="visible" r:id="rId2"/>
    <sheet name="REGISTRO DE MOVIMIENTOS" sheetId="3" state="visible" r:id="rId3"/>
    <sheet name="PRESUPUESTO MENSUAL" sheetId="4" state="visible" r:id="rId4"/>
    <sheet name="CONTROL DE AHORRO" sheetId="5" state="visible" r:id="rId5"/>
    <sheet name="CONTROL DE BANKROLL" sheetId="6" state="visible" r:id="rId6"/>
    <sheet name="DASHBOARD DE TRADING" sheetId="7" state="visible" r:id="rId7"/>
    <sheet name="CONTROL DE PAYOUTS" sheetId="8" state="visible" r:id="rId8"/>
    <sheet name="PATRIMONIO NETO" sheetId="9" state="visible" r:id="rId9"/>
    <sheet name="FONDO DE EMERGENCIA" sheetId="10" state="visible" r:id="rId10"/>
    <sheet name="OBJETIVOS" sheetId="11" state="visible" r:id="rId11"/>
    <sheet name="GASTOS HORMIGA" sheetId="12" state="visible" r:id="rId12"/>
    <sheet name="RANKING MEJORES MESES" sheetId="13" state="visible" r:id="rId13"/>
    <sheet name="LIBERTAD FINANCIERA" sheetId="14" state="visible" r:id="rId14"/>
    <sheet name="PROYECCIONES FUTURAS" sheetId="15" state="visible" r:id="rId15"/>
    <sheet name="SCORE DEL TRADER" sheetId="16" state="visible" r:id="rId16"/>
  </sheets>
  <definedNames>
    <definedName name="_xlnm.Print_Area" localSheetId="0">'GUIA DE USO'!$A$1:$J$42</definedName>
    <definedName name="_xlnm.Print_Area" localSheetId="1">'DASHBOARD EJECUTIVO'!$A$1:$N$27</definedName>
    <definedName name="_xlnm.Print_Area" localSheetId="2">'REGISTRO DE MOVIMIENTOS'!$A$1:$L$17</definedName>
    <definedName name="_xlnm.Print_Area" localSheetId="3">'PRESUPUESTO MENSUAL'!$A$1:$H$38</definedName>
    <definedName name="_xlnm.Print_Area" localSheetId="4">'CONTROL DE AHORRO'!$A$1:$H$16</definedName>
    <definedName name="_xlnm.Print_Area" localSheetId="5">'CONTROL DE BANKROLL'!$A$1:$G$14</definedName>
    <definedName name="_xlnm.Print_Area" localSheetId="6">'DASHBOARD DE TRADING'!$A$1:$G$18</definedName>
    <definedName name="_xlnm.Print_Area" localSheetId="7">'CONTROL DE PAYOUTS'!$A$1:$G$14</definedName>
    <definedName name="_xlnm.Print_Area" localSheetId="8">'PATRIMONIO NETO'!$A$1:$F$29</definedName>
    <definedName name="_xlnm.Print_Area" localSheetId="9">'FONDO DE EMERGENCIA'!$A$1:$F$28</definedName>
    <definedName name="_xlnm.Print_Area" localSheetId="10">'OBJETIVOS'!$A$1:$H$11</definedName>
    <definedName name="_xlnm.Print_Area" localSheetId="11">'GASTOS HORMIGA'!$A$1:$I$513</definedName>
    <definedName name="_xlnm.Print_Area" localSheetId="12">'RANKING MEJORES MESES'!$A$1:$K$17</definedName>
    <definedName name="_xlnm.Print_Area" localSheetId="13">'LIBERTAD FINANCIERA'!$A$1:$F$20</definedName>
    <definedName name="_xlnm.Print_Area" localSheetId="14">'PROYECCIONES FUTURAS'!$A$1:$H$21</definedName>
    <definedName name="_xlnm.Print_Area" localSheetId="15">'SCORE DEL TRADER'!$A$1:$F$22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0 €"/>
    <numFmt numFmtId="167" formatCode="0.0%"/>
    <numFmt numFmtId="168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2D3D"/>
      <sz val="11"/>
    </font>
    <font>
      <name val="Calibri"/>
      <b val="1"/>
      <color rgb="001F2D3D"/>
      <sz val="10"/>
    </font>
    <font>
      <name val="Calibri"/>
      <color rgb="00212529"/>
      <sz val="10"/>
    </font>
    <font>
      <name val="Calibri"/>
      <b val="1"/>
      <color rgb="001F2D3D"/>
      <sz val="12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C3E50"/>
      </patternFill>
    </fill>
    <fill>
      <patternFill patternType="solid">
        <fgColor rgb="00F5A623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20C997"/>
      </patternFill>
    </fill>
    <fill>
      <patternFill patternType="solid">
        <fgColor rgb="00FD7E14"/>
      </patternFill>
    </fill>
    <fill>
      <patternFill patternType="solid">
        <fgColor rgb="00007BFF"/>
      </patternFill>
    </fill>
    <fill>
      <patternFill patternType="solid">
        <fgColor rgb="00DEE2E6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28">
    <xf numFmtId="0" fontId="0" fillId="0" borderId="0"/>
    <xf numFmtId="0" fontId="1" fillId="2" borderId="1" applyAlignment="1">
      <alignment horizontal="center" vertical="center" wrapText="1"/>
    </xf>
    <xf numFmtId="0" fontId="2" fillId="2" borderId="1" applyAlignment="1">
      <alignment horizontal="center" vertical="center" wrapText="1"/>
    </xf>
    <xf numFmtId="0" fontId="1" fillId="3" borderId="1" applyAlignment="1">
      <alignment horizontal="center" vertical="center" wrapText="1"/>
    </xf>
    <xf numFmtId="0" fontId="3" fillId="4" borderId="1" applyAlignment="1">
      <alignment horizontal="center" vertical="center" wrapText="1"/>
    </xf>
    <xf numFmtId="0" fontId="3" fillId="4" borderId="1" applyAlignment="1">
      <alignment horizontal="right" vertical="center" wrapText="1"/>
    </xf>
    <xf numFmtId="0" fontId="4" fillId="4" borderId="1" applyAlignment="1">
      <alignment horizontal="left" vertical="center" wrapText="1"/>
    </xf>
    <xf numFmtId="0" fontId="2" fillId="5" borderId="1" applyAlignment="1">
      <alignment horizontal="center" vertical="center" wrapText="1"/>
    </xf>
    <xf numFmtId="0" fontId="2" fillId="6" borderId="1" applyAlignment="1">
      <alignment horizontal="center" vertical="center" wrapText="1"/>
    </xf>
    <xf numFmtId="0" fontId="2" fillId="7" borderId="1" applyAlignment="1">
      <alignment horizontal="center" vertical="center" wrapText="1"/>
    </xf>
    <xf numFmtId="0" fontId="2" fillId="8" borderId="1" applyAlignment="1">
      <alignment horizontal="center" vertical="center" wrapText="1"/>
    </xf>
    <xf numFmtId="0" fontId="2" fillId="9" borderId="1" applyAlignment="1">
      <alignment horizontal="center" vertical="center" wrapText="1"/>
    </xf>
    <xf numFmtId="0" fontId="4" fillId="10" borderId="1" applyAlignment="1">
      <alignment horizontal="center" vertical="center" wrapText="1"/>
    </xf>
    <xf numFmtId="0" fontId="5" fillId="11" borderId="1" applyAlignment="1">
      <alignment horizontal="left" vertical="center" wrapText="1"/>
    </xf>
    <xf numFmtId="0" fontId="5" fillId="11" borderId="1" applyAlignment="1">
      <alignment horizontal="right" vertical="center" wrapText="1"/>
    </xf>
    <xf numFmtId="0" fontId="5" fillId="11" borderId="1" applyAlignment="1">
      <alignment horizontal="center" vertical="center" wrapText="1"/>
    </xf>
    <xf numFmtId="0" fontId="5" fillId="12" borderId="1" applyAlignment="1">
      <alignment horizontal="left" vertical="center" wrapText="1"/>
    </xf>
    <xf numFmtId="0" fontId="5" fillId="12" borderId="1" applyAlignment="1">
      <alignment horizontal="right" vertical="center" wrapText="1"/>
    </xf>
    <xf numFmtId="0" fontId="5" fillId="12" borderId="1" applyAlignment="1">
      <alignment horizontal="center" vertical="center" wrapText="1"/>
    </xf>
    <xf numFmtId="0" fontId="4" fillId="11" borderId="1" applyAlignment="1">
      <alignment horizontal="left" vertical="center" wrapText="1"/>
    </xf>
    <xf numFmtId="0" fontId="4" fillId="11" borderId="1" applyAlignment="1">
      <alignment horizontal="right" vertical="center" wrapText="1"/>
    </xf>
    <xf numFmtId="0" fontId="6" fillId="4" borderId="1" applyAlignment="1">
      <alignment horizontal="right" vertical="center" wrapText="1"/>
    </xf>
    <xf numFmtId="0" fontId="4" fillId="11" borderId="1" applyAlignment="1">
      <alignment horizontal="left" vertical="center" wrapText="1"/>
    </xf>
    <xf numFmtId="0" fontId="4" fillId="11" borderId="1" applyAlignment="1">
      <alignment horizontal="right" vertical="center" wrapText="1"/>
    </xf>
    <xf numFmtId="0" fontId="4" fillId="11" borderId="1" applyAlignment="1">
      <alignment horizontal="center" vertical="center" wrapText="1"/>
    </xf>
    <xf numFmtId="0" fontId="4" fillId="12" borderId="1" applyAlignment="1">
      <alignment horizontal="left" vertical="center" wrapText="1"/>
    </xf>
    <xf numFmtId="0" fontId="4" fillId="12" borderId="1" applyAlignment="1">
      <alignment horizontal="right" vertical="center" wrapText="1"/>
    </xf>
    <xf numFmtId="0" fontId="4" fillId="12" borderId="1" applyAlignment="1">
      <alignment horizontal="center" vertical="center" wrapText="1"/>
    </xf>
  </cellStyleXfs>
  <cellXfs count="41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3" fillId="4" borderId="1" applyAlignment="1" pivotButton="0" quotePrefix="0" xfId="4">
      <alignment horizontal="center" vertical="center" wrapText="1"/>
    </xf>
    <xf numFmtId="0" fontId="1" fillId="3" borderId="1" applyAlignment="1" pivotButton="0" quotePrefix="0" xfId="3">
      <alignment horizontal="center" vertical="center" wrapText="1"/>
    </xf>
    <xf numFmtId="0" fontId="4" fillId="4" borderId="1" applyAlignment="1" pivotButton="0" quotePrefix="0" xfId="6">
      <alignment horizontal="left" vertical="center" wrapText="1"/>
    </xf>
    <xf numFmtId="0" fontId="5" fillId="11" borderId="1" applyAlignment="1" pivotButton="0" quotePrefix="0" xfId="13">
      <alignment horizontal="left" vertical="center" wrapText="1"/>
    </xf>
    <xf numFmtId="0" fontId="4" fillId="11" borderId="1" applyAlignment="1" pivotButton="0" quotePrefix="0" xfId="19">
      <alignment horizontal="left" vertical="center" wrapText="1"/>
    </xf>
    <xf numFmtId="0" fontId="4" fillId="10" borderId="1" applyAlignment="1" pivotButton="0" quotePrefix="0" xfId="12">
      <alignment horizontal="center" vertical="center" wrapText="1"/>
    </xf>
    <xf numFmtId="0" fontId="4" fillId="11" borderId="1" applyAlignment="1" pivotButton="0" quotePrefix="0" xfId="22">
      <alignment horizontal="left" vertical="center" wrapText="1"/>
    </xf>
    <xf numFmtId="0" fontId="4" fillId="12" borderId="1" applyAlignment="1" pivotButton="0" quotePrefix="0" xfId="25">
      <alignment horizontal="left" vertical="center" wrapText="1"/>
    </xf>
    <xf numFmtId="0" fontId="5" fillId="12" borderId="1" applyAlignment="1" pivotButton="0" quotePrefix="0" xfId="16">
      <alignment horizontal="left" vertical="center" wrapText="1"/>
    </xf>
    <xf numFmtId="0" fontId="2" fillId="5" borderId="1" applyAlignment="1" pivotButton="0" quotePrefix="0" xfId="7">
      <alignment horizontal="center" vertical="center" wrapText="1"/>
    </xf>
    <xf numFmtId="0" fontId="2" fillId="6" borderId="1" applyAlignment="1" pivotButton="0" quotePrefix="0" xfId="8">
      <alignment horizontal="center" vertical="center" wrapText="1"/>
    </xf>
    <xf numFmtId="0" fontId="2" fillId="2" borderId="1" applyAlignment="1" pivotButton="0" quotePrefix="0" xfId="2">
      <alignment horizontal="center" vertical="center" wrapText="1"/>
    </xf>
    <xf numFmtId="166" fontId="5" fillId="11" borderId="1" applyAlignment="1" pivotButton="0" quotePrefix="0" xfId="15">
      <alignment horizontal="center" vertical="center" wrapText="1"/>
    </xf>
    <xf numFmtId="167" fontId="5" fillId="11" borderId="1" applyAlignment="1" pivotButton="0" quotePrefix="0" xfId="15">
      <alignment horizontal="center" vertical="center" wrapText="1"/>
    </xf>
    <xf numFmtId="168" fontId="5" fillId="11" borderId="1" applyAlignment="1" pivotButton="0" quotePrefix="0" xfId="15">
      <alignment horizontal="center" vertical="center" wrapText="1"/>
    </xf>
    <xf numFmtId="166" fontId="5" fillId="12" borderId="1" applyAlignment="1" pivotButton="0" quotePrefix="0" xfId="17">
      <alignment horizontal="right" vertical="center" wrapText="1"/>
    </xf>
    <xf numFmtId="167" fontId="5" fillId="12" borderId="1" applyAlignment="1" pivotButton="0" quotePrefix="0" xfId="17">
      <alignment horizontal="right" vertical="center" wrapText="1"/>
    </xf>
    <xf numFmtId="166" fontId="5" fillId="11" borderId="1" applyAlignment="1" pivotButton="0" quotePrefix="0" xfId="14">
      <alignment horizontal="right" vertical="center" wrapText="1"/>
    </xf>
    <xf numFmtId="167" fontId="5" fillId="11" borderId="1" applyAlignment="1" pivotButton="0" quotePrefix="0" xfId="14">
      <alignment horizontal="right" vertical="center" wrapText="1"/>
    </xf>
    <xf numFmtId="166" fontId="3" fillId="4" borderId="1" applyAlignment="1" pivotButton="0" quotePrefix="0" xfId="5">
      <alignment horizontal="right" vertical="center" wrapText="1"/>
    </xf>
    <xf numFmtId="167" fontId="3" fillId="4" borderId="1" applyAlignment="1" pivotButton="0" quotePrefix="0" xfId="5">
      <alignment horizontal="right" vertical="center" wrapText="1"/>
    </xf>
    <xf numFmtId="165" fontId="5" fillId="11" borderId="1" applyAlignment="1" pivotButton="0" quotePrefix="0" xfId="15">
      <alignment horizontal="center" vertical="center" wrapText="1"/>
    </xf>
    <xf numFmtId="0" fontId="5" fillId="11" borderId="1" applyAlignment="1" pivotButton="0" quotePrefix="0" xfId="15">
      <alignment horizontal="center" vertical="center" wrapText="1"/>
    </xf>
    <xf numFmtId="165" fontId="5" fillId="12" borderId="1" applyAlignment="1" pivotButton="0" quotePrefix="0" xfId="18">
      <alignment horizontal="center" vertical="center" wrapText="1"/>
    </xf>
    <xf numFmtId="0" fontId="5" fillId="12" borderId="1" applyAlignment="1" pivotButton="0" quotePrefix="0" xfId="18">
      <alignment horizontal="center" vertical="center" wrapText="1"/>
    </xf>
    <xf numFmtId="166" fontId="6" fillId="4" borderId="1" applyAlignment="1" pivotButton="0" quotePrefix="0" xfId="21">
      <alignment horizontal="right" vertical="center" wrapText="1"/>
    </xf>
    <xf numFmtId="167" fontId="5" fillId="12" borderId="1" applyAlignment="1" pivotButton="0" quotePrefix="0" xfId="18">
      <alignment horizontal="center" vertical="center" wrapText="1"/>
    </xf>
    <xf numFmtId="3" fontId="5" fillId="11" borderId="1" applyAlignment="1" pivotButton="0" quotePrefix="0" xfId="14">
      <alignment horizontal="right" vertical="center" wrapText="1"/>
    </xf>
    <xf numFmtId="166" fontId="2" fillId="5" borderId="1" applyAlignment="1" pivotButton="0" quotePrefix="0" xfId="7">
      <alignment horizontal="center" vertical="center" wrapText="1"/>
    </xf>
    <xf numFmtId="166" fontId="2" fillId="6" borderId="1" applyAlignment="1" pivotButton="0" quotePrefix="0" xfId="8">
      <alignment horizontal="center" vertical="center" wrapText="1"/>
    </xf>
    <xf numFmtId="168" fontId="5" fillId="12" borderId="1" applyAlignment="1" pivotButton="0" quotePrefix="0" xfId="17">
      <alignment horizontal="right" vertical="center" wrapText="1"/>
    </xf>
    <xf numFmtId="166" fontId="3" fillId="4" borderId="1" applyAlignment="1" pivotButton="0" quotePrefix="0" xfId="4">
      <alignment horizontal="center" vertical="center" wrapText="1"/>
    </xf>
    <xf numFmtId="166" fontId="5" fillId="11" borderId="1" applyAlignment="1" pivotButton="0" quotePrefix="0" xfId="13">
      <alignment horizontal="left" vertical="center" wrapText="1"/>
    </xf>
    <xf numFmtId="166" fontId="5" fillId="12" borderId="1" applyAlignment="1" pivotButton="0" quotePrefix="0" xfId="16">
      <alignment horizontal="left" vertical="center" wrapText="1"/>
    </xf>
    <xf numFmtId="3" fontId="5" fillId="12" borderId="1" applyAlignment="1" pivotButton="0" quotePrefix="0" xfId="17">
      <alignment horizontal="right" vertical="center" wrapText="1"/>
    </xf>
    <xf numFmtId="0" fontId="2" fillId="7" borderId="1" applyAlignment="1" pivotButton="0" quotePrefix="0" xfId="9">
      <alignment horizontal="center" vertical="center" wrapText="1"/>
    </xf>
    <xf numFmtId="167" fontId="6" fillId="4" borderId="1" applyAlignment="1" pivotButton="0" quotePrefix="0" xfId="21">
      <alignment horizontal="right" vertical="center" wrapText="1"/>
    </xf>
    <xf numFmtId="168" fontId="5" fillId="11" borderId="1" applyAlignment="1" pivotButton="0" quotePrefix="0" xfId="14">
      <alignment horizontal="right" vertical="center" wrapText="1"/>
    </xf>
    <xf numFmtId="168" fontId="3" fillId="4" borderId="1" applyAlignment="1" pivotButton="0" quotePrefix="0" xfId="5">
      <alignment horizontal="right" vertical="center" wrapText="1"/>
    </xf>
  </cellXfs>
  <cellStyles count="28">
    <cellStyle name="Normal" xfId="0" builtinId="0" hidden="0"/>
    <cellStyle name="header" xfId="1" hidden="0"/>
    <cellStyle name="header_sm" xfId="2" hidden="0"/>
    <cellStyle name="subheader" xfId="3" hidden="0"/>
    <cellStyle name="gold" xfId="4" hidden="0"/>
    <cellStyle name="gold_r" xfId="5" hidden="0"/>
    <cellStyle name="gold_l" xfId="6" hidden="0"/>
    <cellStyle name="green" xfId="7" hidden="0"/>
    <cellStyle name="red" xfId="8" hidden="0"/>
    <cellStyle name="teal" xfId="9" hidden="0"/>
    <cellStyle name="orange" xfId="10" hidden="0"/>
    <cellStyle name="blue" xfId="11" hidden="0"/>
    <cellStyle name="col_hdr" xfId="12" hidden="0"/>
    <cellStyle name="data_l" xfId="13" hidden="0"/>
    <cellStyle name="data_r" xfId="14" hidden="0"/>
    <cellStyle name="data_c" xfId="15" hidden="0"/>
    <cellStyle name="alt_l" xfId="16" hidden="0"/>
    <cellStyle name="alt_r" xfId="17" hidden="0"/>
    <cellStyle name="alt_c" xfId="18" hidden="0"/>
    <cellStyle name="bold_l" xfId="19" hidden="0"/>
    <cellStyle name="bold_r" xfId="20" hidden="0"/>
    <cellStyle name="input" xfId="21" hidden="0"/>
    <cellStyle name="bdata_l" xfId="22" hidden="0"/>
    <cellStyle name="bdata_r" xfId="23" hidden="0"/>
    <cellStyle name="bdata_c" xfId="24" hidden="0"/>
    <cellStyle name="balt_l" xfId="25" hidden="0"/>
    <cellStyle name="balt_r" xfId="26" hidden="0"/>
    <cellStyle name="balt_c" xfId="27" hidden="0"/>
  </cellStyles>
  <dxfs count="6">
    <dxf>
      <fill>
        <patternFill patternType="solid">
          <fgColor rgb="00DC35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Ahorro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DE AHORRO'!E2</f>
            </strRef>
          </tx>
          <spPr>
            <a:ln w="25000">
              <a:solidFill>
                <a:srgbClr val="20C99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DE AHORRO'!$E$3:$E$12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Bankroll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DE BANKROLL'!E2</f>
            </strRef>
          </tx>
          <spPr>
            <a:ln>
              <a:prstDash val="solid"/>
            </a:ln>
          </spPr>
          <val>
            <numRef>
              <f>'CONTROL DE BANKROLL'!$E$3:$E$12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Resultados Trading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DE TRADING'!C2</f>
            </strRef>
          </tx>
          <spPr>
            <a:ln>
              <a:prstDash val="solid"/>
            </a:ln>
          </spPr>
          <val>
            <numRef>
              <f>'DASHBOARD DE TRADING'!$C$3:$C$12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Payouts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DE PAYOUTS'!C2</f>
            </strRef>
          </tx>
          <spPr>
            <a:ln>
              <a:prstDash val="solid"/>
            </a:ln>
          </spPr>
          <val>
            <numRef>
              <f>'CONTROL DE PAYOUTS'!$C$3:$C$12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Patrimonio Neto</a:t>
            </a:r>
          </a:p>
        </rich>
      </tx>
    </title>
    <plotArea>
      <areaChart>
        <grouping val="standard"/>
        <ser>
          <idx val="0"/>
          <order val="0"/>
          <tx>
            <strRef>
              <f>'PATRIMONIO NETO'!D23</f>
            </strRef>
          </tx>
          <spPr>
            <a:ln>
              <a:prstDash val="solid"/>
            </a:ln>
          </spPr>
          <val>
            <numRef>
              <f>'PATRIMONIO NETO'!$D$24:$D$29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Gastos Hormiga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'GASTOS HORMIGA'!$A$504:$A$508</f>
            </numRef>
          </cat>
          <val>
            <numRef>
              <f>'GASTOS HORMIGA'!$B$504:$B$508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Patrimonial a 5 Anos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 FUTURAS'!B11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'PROYECCIONES FUTURAS'!$B$12:$B$16</f>
            </numRef>
          </val>
        </ser>
        <ser>
          <idx val="1"/>
          <order val="1"/>
          <tx>
            <strRef>
              <f>'PROYECCIONES FUTURAS'!C11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'PROYECCIONES FUTURAS'!$C$12:$C$16</f>
            </numRef>
          </val>
        </ser>
        <ser>
          <idx val="2"/>
          <order val="2"/>
          <tx>
            <strRef>
              <f>'PROYECCIONES FUTURAS'!D11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'PROYECCIONES FUTURAS'!$D$12:$D$16</f>
            </numRef>
          </val>
        </ser>
        <ser>
          <idx val="3"/>
          <order val="3"/>
          <tx>
            <strRef>
              <f>'PROYECCIONES FUTURAS'!E11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'PROYECCIONES FUTURAS'!$E$12:$E$16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Sistema</author>
  </authors>
  <commentList>
    <comment ref="D3" authorId="0" shapeId="0">
      <text>
        <t>Cambia este valor cada mes. Todo el sistema se actualiza automaticamente.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vimientos" displayName="Movimientos" ref="A2:J12" headerRowCount="1">
  <autoFilter ref="A2:J12"/>
  <tableColumns count="10">
    <tableColumn id="1" name="Fecha"/>
    <tableColumn id="2" name="Mes"/>
    <tableColumn id="3" name="Anio"/>
    <tableColumn id="4" name="Tipo"/>
    <tableColumn id="5" name="Categoria"/>
    <tableColumn id="6" name="Subcategoria"/>
    <tableColumn id="7" name="Descripcion"/>
    <tableColumn id="8" name="Importe"/>
    <tableColumn id="9" name="Metodo de Pago"/>
    <tableColumn id="10" name="Coment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35" customHeight="1">
      <c r="A1" s="1" t="inlineStr">
        <is>
          <t>GUIA DE USO - SISTEMA FINANCIERO PERSONAL</t>
        </is>
      </c>
    </row>
    <row r="2" ht="22" customHeight="1">
      <c r="A2" s="2" t="inlineStr">
        <is>
          <t>Sistema para el control integral de finanzas personales y profesionales | Inicio: Junio 2026</t>
        </is>
      </c>
    </row>
    <row r="4" ht="25" customHeight="1">
      <c r="A4" s="3" t="inlineStr">
        <is>
          <t>COMO CAMBIAR EL INGRESO MENSUAL</t>
        </is>
      </c>
    </row>
    <row r="5" ht="25" customHeight="1">
      <c r="A5" s="4" t="inlineStr">
        <is>
          <t>PASO 1: Ve a la pestana 'PRESUPUESTO MENSUAL' (tercera pestana del libro)</t>
        </is>
      </c>
    </row>
    <row r="6" ht="25" customHeight="1">
      <c r="A6" s="4" t="inlineStr">
        <is>
          <t>PASO 2: Localiza la celda D3 — tiene fondo AMARILLO/DORADO y letra grande</t>
        </is>
      </c>
    </row>
    <row r="7" ht="25" customHeight="1">
      <c r="A7" s="4" t="inlineStr">
        <is>
          <t>PASO 3: Haz doble clic en D3 y escribe tu nuevo ingreso neto mensual</t>
        </is>
      </c>
    </row>
    <row r="8" ht="25" customHeight="1">
      <c r="A8" s="4" t="inlineStr">
        <is>
          <t>PASO 4: Pulsa ENTER — todo el sistema se actualiza automaticamente</t>
        </is>
      </c>
    </row>
    <row r="9" ht="25" customHeight="1">
      <c r="A9" s="5" t="inlineStr"/>
    </row>
    <row r="10" ht="25" customHeight="1">
      <c r="A10" s="6" t="inlineStr">
        <is>
          <t>NOTA IMPORTANTE: La celda D3 de PRESUPUESTO MENSUAL es el unico valor que debes</t>
        </is>
      </c>
    </row>
    <row r="11" ht="25" customHeight="1">
      <c r="A11" s="5" t="inlineStr">
        <is>
          <t>cambiar cada mes. Todos los calculos del sistema usan ese valor como referencia.</t>
        </is>
      </c>
    </row>
    <row r="13" ht="25" customHeight="1">
      <c r="A13" s="3" t="inlineStr">
        <is>
          <t>DESCRIPCION DE LAS HOJAS DEL SISTEMA</t>
        </is>
      </c>
    </row>
    <row r="14" ht="20" customHeight="1">
      <c r="A14" s="7" t="inlineStr">
        <is>
          <t>Hoja</t>
        </is>
      </c>
      <c r="B14" s="7" t="inlineStr">
        <is>
          <t>Descripcion y uso</t>
        </is>
      </c>
    </row>
    <row r="15" ht="30" customHeight="1">
      <c r="A15" s="8" t="inlineStr">
        <is>
          <t>DASHBOARD EJECUTIVO</t>
        </is>
      </c>
      <c r="B15" s="5" t="inlineStr">
        <is>
          <t>Panel principal con todos los KPIs financieros.</t>
        </is>
      </c>
    </row>
    <row r="16" ht="30" customHeight="1">
      <c r="A16" s="9" t="inlineStr">
        <is>
          <t>REGISTRO DE MOVIMIENTOS</t>
        </is>
      </c>
      <c r="B16" s="10" t="inlineStr">
        <is>
          <t>Registra TODOS tus ingresos y gastos. Es la hoja mas importante.</t>
        </is>
      </c>
    </row>
    <row r="17" ht="30" customHeight="1">
      <c r="A17" s="8" t="inlineStr">
        <is>
          <t>PRESUPUESTO MENSUAL</t>
        </is>
      </c>
      <c r="B17" s="5" t="inlineStr">
        <is>
          <t>Define tu presupuesto. Introduce el ingreso en D3 (celda dorada).</t>
        </is>
      </c>
    </row>
    <row r="18" ht="30" customHeight="1">
      <c r="A18" s="9" t="inlineStr">
        <is>
          <t>CONTROL DE AHORRO</t>
        </is>
      </c>
      <c r="B18" s="10" t="inlineStr">
        <is>
          <t>Registra aportaciones al ahorro mensual.</t>
        </is>
      </c>
    </row>
    <row r="19" ht="30" customHeight="1">
      <c r="A19" s="8" t="inlineStr">
        <is>
          <t>CONTROL DE BANKROLL</t>
        </is>
      </c>
      <c r="B19" s="5" t="inlineStr">
        <is>
          <t>Registra aportaciones al bankroll de trading (10% del ingreso).</t>
        </is>
      </c>
    </row>
    <row r="20" ht="30" customHeight="1">
      <c r="A20" s="9" t="inlineStr">
        <is>
          <t>DASHBOARD DE TRADING</t>
        </is>
      </c>
      <c r="B20" s="10" t="inlineStr">
        <is>
          <t>Registra resultados de trading. Calcula ROI y evolucion.</t>
        </is>
      </c>
    </row>
    <row r="21" ht="30" customHeight="1">
      <c r="A21" s="8" t="inlineStr">
        <is>
          <t>CONTROL DE PAYOUTS</t>
        </is>
      </c>
      <c r="B21" s="5" t="inlineStr">
        <is>
          <t>Registra pagos recibidos de plataformas de trading.</t>
        </is>
      </c>
    </row>
    <row r="22" ht="30" customHeight="1">
      <c r="A22" s="9" t="inlineStr">
        <is>
          <t>PATRIMONIO NETO</t>
        </is>
      </c>
      <c r="B22" s="10" t="inlineStr">
        <is>
          <t>Calcula tu patrimonio neto (Activos - Pasivos).</t>
        </is>
      </c>
    </row>
    <row r="23" ht="30" customHeight="1">
      <c r="A23" s="8" t="inlineStr">
        <is>
          <t>FONDO DE EMERGENCIA</t>
        </is>
      </c>
      <c r="B23" s="5" t="inlineStr">
        <is>
          <t>Controla el progreso hacia tu fondo de emergencia.</t>
        </is>
      </c>
    </row>
    <row r="24" ht="30" customHeight="1">
      <c r="A24" s="9" t="inlineStr">
        <is>
          <t>OBJETIVOS</t>
        </is>
      </c>
      <c r="B24" s="10" t="inlineStr">
        <is>
          <t>Define y sigue el progreso de tus objetivos financieros anuales.</t>
        </is>
      </c>
    </row>
    <row r="25" ht="30" customHeight="1">
      <c r="A25" s="8" t="inlineStr">
        <is>
          <t>GASTOS HORMIGA</t>
        </is>
      </c>
      <c r="B25" s="5" t="inlineStr">
        <is>
          <t>Registra gastos pequenos recurrentes. Detecta fugas de dinero.</t>
        </is>
      </c>
    </row>
    <row r="26" ht="30" customHeight="1">
      <c r="A26" s="9" t="inlineStr">
        <is>
          <t>RANKING MEJORES MESES</t>
        </is>
      </c>
      <c r="B26" s="10" t="inlineStr">
        <is>
          <t>Ranking de mejores meses. Actualiza con tus datos.</t>
        </is>
      </c>
    </row>
    <row r="27" ht="30" customHeight="1">
      <c r="A27" s="8" t="inlineStr">
        <is>
          <t>LIBERTAD FINANCIERA</t>
        </is>
      </c>
      <c r="B27" s="5" t="inlineStr">
        <is>
          <t>Mide el porcentaje de cobertura de gastos con ingresos de trading.</t>
        </is>
      </c>
    </row>
    <row r="28" ht="30" customHeight="1">
      <c r="A28" s="9" t="inlineStr">
        <is>
          <t>PROYECCIONES FUTURAS</t>
        </is>
      </c>
      <c r="B28" s="10" t="inlineStr">
        <is>
          <t>Proyecciones a 1, 3 y 5 anos basadas en parametros actuales.</t>
        </is>
      </c>
    </row>
    <row r="29" ht="30" customHeight="1">
      <c r="A29" s="8" t="inlineStr">
        <is>
          <t>SCORE DEL TRADER</t>
        </is>
      </c>
      <c r="B29" s="5" t="inlineStr">
        <is>
          <t>Puntuacion 0-100 que evalua tu desempeno financiero.</t>
        </is>
      </c>
    </row>
    <row r="31" ht="22" customHeight="1">
      <c r="A31" s="3" t="inlineStr">
        <is>
          <t>LEYENDA DE COLORES</t>
        </is>
      </c>
    </row>
    <row r="32" ht="20" customHeight="1">
      <c r="A32" s="11" t="inlineStr">
        <is>
          <t>VERDE: Indicador positivo / objetivo cumplido / dentro de presupuesto</t>
        </is>
      </c>
    </row>
    <row r="33" ht="20" customHeight="1">
      <c r="A33" s="2" t="inlineStr">
        <is>
          <t>DORADO: Subtitulos, totales y valores destacados (tambien la celda de ingreso D3)</t>
        </is>
      </c>
    </row>
    <row r="34" ht="20" customHeight="1">
      <c r="A34" s="12" t="inlineStr">
        <is>
          <t>ROJO: Alerta / presupuesto excedido / objetivo no alcanzado</t>
        </is>
      </c>
    </row>
    <row r="35" ht="20" customHeight="1">
      <c r="A35" s="1" t="inlineStr">
        <is>
          <t>AZUL OSCURO: Cabeceras de tablas y secciones principales</t>
        </is>
      </c>
    </row>
    <row r="36" ht="20" customHeight="1">
      <c r="A36" s="7" t="inlineStr">
        <is>
          <t>GRIS: Cabeceras de columnas</t>
        </is>
      </c>
    </row>
    <row r="37" ht="20" customHeight="1">
      <c r="A37" s="10" t="inlineStr">
        <is>
          <t>GRIS CLARO: Filas alternas para mejor legibilidad</t>
        </is>
      </c>
    </row>
  </sheetData>
  <mergeCells count="18">
    <mergeCell ref="A1:H1"/>
    <mergeCell ref="A4:H4"/>
    <mergeCell ref="A9:H9"/>
    <mergeCell ref="A35:H35"/>
    <mergeCell ref="A7:H7"/>
    <mergeCell ref="A31:H31"/>
    <mergeCell ref="A2:H2"/>
    <mergeCell ref="A10:H10"/>
    <mergeCell ref="A13:H13"/>
    <mergeCell ref="A11:H11"/>
    <mergeCell ref="A33:H33"/>
    <mergeCell ref="A36:H36"/>
    <mergeCell ref="A5:H5"/>
    <mergeCell ref="A37:H37"/>
    <mergeCell ref="A32:H32"/>
    <mergeCell ref="A8:H8"/>
    <mergeCell ref="A6:H6"/>
    <mergeCell ref="A34:H3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F2D3D"/>
    <outlinePr summaryBelow="1" summaryRight="1"/>
    <pageSetUpPr fitToPage="1"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" t="inlineStr">
        <is>
          <t>DASHBOARD EJECUTIVO - SISTEMA FINANCIERO PERSONAL 2026</t>
        </is>
      </c>
    </row>
    <row r="2" ht="20" customHeight="1">
      <c r="A2" s="3" t="inlineStr">
        <is>
          <t>Sistema de control financiero integral | Inicio: Junio 2026 | Referencia: 2.000 EUR/mes</t>
        </is>
      </c>
    </row>
    <row r="3" ht="22" customHeight="1">
      <c r="A3" s="2" t="inlineStr">
        <is>
          <t>INGRESO MENSUAL: Para cambiar el ingreso ve a la hoja 'PRESUPUESTO MENSUAL' y edita la celda D3 (dorada)</t>
        </is>
      </c>
    </row>
    <row r="5" ht="22" customHeight="1">
      <c r="A5" s="3" t="inlineStr">
        <is>
          <t>KPIs PRINCIPALES - JUNIO 2026</t>
        </is>
      </c>
    </row>
    <row r="6" ht="18" customHeight="1">
      <c r="A6" s="13" t="inlineStr">
        <is>
          <t>Ingreso del Mes (D3 PRESUPUESTO)</t>
        </is>
      </c>
      <c r="C6" s="13" t="inlineStr">
        <is>
          <t>Gastos Totales (Movimientos)</t>
        </is>
      </c>
      <c r="E6" s="13" t="inlineStr">
        <is>
          <t>Flujo de Caja</t>
        </is>
      </c>
      <c r="G6" s="13" t="inlineStr">
        <is>
          <t>Ahorro Mensual</t>
        </is>
      </c>
      <c r="I6" s="13" t="inlineStr">
        <is>
          <t>Ahorro Acumulado</t>
        </is>
      </c>
      <c r="K6" s="13" t="inlineStr">
        <is>
          <t>Bankroll Capital</t>
        </is>
      </c>
    </row>
    <row r="7" ht="28" customHeight="1">
      <c r="A7" s="14">
        <f>'PRESUPUESTO MENSUAL'!$D$3</f>
        <v/>
      </c>
      <c r="C7" s="14">
        <f>SUMIF('REGISTRO DE MOVIMIENTOS'!D3:D1000,"Gasto",'REGISTRO DE MOVIMIENTOS'!H3:H1000)</f>
        <v/>
      </c>
      <c r="E7" s="14">
        <f>'PRESUPUESTO MENSUAL'!$D$3-SUMIF('REGISTRO DE MOVIMIENTOS'!D3:D1000,"Gasto",'REGISTRO DE MOVIMIENTOS'!H3:H1000)</f>
        <v/>
      </c>
      <c r="G7" s="14">
        <f>'CONTROL DE AHORRO'!D3</f>
        <v/>
      </c>
      <c r="I7" s="14">
        <f>MAX('CONTROL DE AHORRO'!E3:E1000)</f>
        <v/>
      </c>
      <c r="K7" s="14">
        <f>MAX('CONTROL DE BANKROLL'!E3:E1000)</f>
        <v/>
      </c>
    </row>
    <row r="8" ht="12" customHeight="1"/>
    <row r="9" ht="18" customHeight="1">
      <c r="A9" s="13" t="inlineStr">
        <is>
          <t>Benef. Trading Mes</t>
        </is>
      </c>
      <c r="C9" s="13" t="inlineStr">
        <is>
          <t>Payouts Cobrados</t>
        </is>
      </c>
      <c r="E9" s="13" t="inlineStr">
        <is>
          <t>Patrimonio Neto</t>
        </is>
      </c>
      <c r="G9" s="13" t="inlineStr">
        <is>
          <t>ROI Trading %</t>
        </is>
      </c>
      <c r="I9" s="13" t="inlineStr">
        <is>
          <t>Score Financiero /100</t>
        </is>
      </c>
      <c r="K9" s="13" t="inlineStr">
        <is>
          <t>Libertad Financiera %</t>
        </is>
      </c>
    </row>
    <row r="10" ht="28" customHeight="1">
      <c r="A10" s="14">
        <f>SUM('DASHBOARD DE TRADING'!C3:C1000)</f>
        <v/>
      </c>
      <c r="C10" s="14">
        <f>SUMIF('CONTROL DE PAYOUTS'!D3:D1000,"Cobrado",'CONTROL DE PAYOUTS'!C3:C1000)</f>
        <v/>
      </c>
      <c r="E10" s="14">
        <f>'PATRIMONIO NETO'!B20</f>
        <v/>
      </c>
      <c r="G10" s="15">
        <f>IFERROR(SUM('DASHBOARD DE TRADING'!C3:C1000)/MAX('CONTROL DE BANKROLL'!E3:E1000),0)</f>
        <v/>
      </c>
      <c r="I10" s="16">
        <f>'SCORE DEL TRADER'!D10</f>
        <v/>
      </c>
      <c r="K10" s="15">
        <f>'LIBERTAD FINANCIERA'!B5</f>
        <v/>
      </c>
    </row>
    <row r="11" ht="12" customHeight="1"/>
    <row r="13" ht="22" customHeight="1">
      <c r="A13" s="3" t="inlineStr">
        <is>
          <t>RESUMEN PRESUPUESTARIO MENSUAL</t>
        </is>
      </c>
    </row>
    <row r="14">
      <c r="A14" s="7" t="inlineStr">
        <is>
          <t>Concepto</t>
        </is>
      </c>
      <c r="C14" s="7" t="inlineStr">
        <is>
          <t>Importe</t>
        </is>
      </c>
      <c r="E14" s="7" t="inlineStr">
        <is>
          <t>% Ingreso</t>
        </is>
      </c>
    </row>
    <row r="15">
      <c r="A15" s="10" t="inlineStr">
        <is>
          <t>Ingreso Neto (PRESUPUESTO MENSUAL D3)</t>
        </is>
      </c>
      <c r="C15" s="17">
        <f>'PRESUPUESTO MENSUAL'!$D$3</f>
        <v/>
      </c>
      <c r="E15" s="18">
        <f>C15/'PRESUPUESTO MENSUAL'!$D$3</f>
        <v/>
      </c>
    </row>
    <row r="16">
      <c r="A16" s="5" t="inlineStr">
        <is>
          <t>Gastos Fijos</t>
        </is>
      </c>
      <c r="C16" s="19">
        <f>1575</f>
        <v/>
      </c>
      <c r="E16" s="20">
        <f>C16/'PRESUPUESTO MENSUAL'!$D$3</f>
        <v/>
      </c>
    </row>
    <row r="17">
      <c r="A17" s="10" t="inlineStr">
        <is>
          <t>Bankroll (10%)</t>
        </is>
      </c>
      <c r="C17" s="17">
        <f>'PRESUPUESTO MENSUAL'!$D$3*0.1</f>
        <v/>
      </c>
      <c r="E17" s="18">
        <f>C17/'PRESUPUESTO MENSUAL'!$D$3</f>
        <v/>
      </c>
    </row>
    <row r="18">
      <c r="A18" s="5" t="inlineStr">
        <is>
          <t>Ahorro (10%)</t>
        </is>
      </c>
      <c r="C18" s="19">
        <f>'PRESUPUESTO MENSUAL'!$D$3*0.1</f>
        <v/>
      </c>
      <c r="E18" s="20">
        <f>C18/'PRESUPUESTO MENSUAL'!$D$3</f>
        <v/>
      </c>
    </row>
    <row r="19">
      <c r="A19" s="10" t="inlineStr">
        <is>
          <t>Caprichos (5%)</t>
        </is>
      </c>
      <c r="C19" s="17">
        <f>'PRESUPUESTO MENSUAL'!$D$3*0.05</f>
        <v/>
      </c>
      <c r="E19" s="18">
        <f>C19/'PRESUPUESTO MENSUAL'!$D$3</f>
        <v/>
      </c>
    </row>
    <row r="20">
      <c r="A20" s="4" t="inlineStr">
        <is>
          <t>DISPONIBLE</t>
        </is>
      </c>
      <c r="C20" s="21">
        <f>'PRESUPUESTO MENSUAL'!$D$3-1575-'PRESUPUESTO MENSUAL'!$D$3*0.25</f>
        <v/>
      </c>
      <c r="E20" s="22">
        <f>C20/'PRESUPUESTO MENSUAL'!$D$3</f>
        <v/>
      </c>
    </row>
    <row r="22" ht="20" customHeight="1">
      <c r="A22" s="2" t="inlineStr">
        <is>
          <t>NAVEGACION: Usa las pestanas de abajo para acceder a cada seccion del sistema</t>
        </is>
      </c>
    </row>
  </sheetData>
  <mergeCells count="30">
    <mergeCell ref="C6:D6"/>
    <mergeCell ref="I6:J6"/>
    <mergeCell ref="K9:L9"/>
    <mergeCell ref="A3:L3"/>
    <mergeCell ref="A6:B6"/>
    <mergeCell ref="A2:L2"/>
    <mergeCell ref="K7:L8"/>
    <mergeCell ref="C7:D8"/>
    <mergeCell ref="E7:F8"/>
    <mergeCell ref="A5:L5"/>
    <mergeCell ref="I10:J11"/>
    <mergeCell ref="A10:B11"/>
    <mergeCell ref="K10:L11"/>
    <mergeCell ref="A22:L22"/>
    <mergeCell ref="G6:H6"/>
    <mergeCell ref="C9:D9"/>
    <mergeCell ref="E9:F9"/>
    <mergeCell ref="E6:F6"/>
    <mergeCell ref="K6:L6"/>
    <mergeCell ref="A13:L13"/>
    <mergeCell ref="G7:H8"/>
    <mergeCell ref="I7:J8"/>
    <mergeCell ref="C10:D11"/>
    <mergeCell ref="A7:B8"/>
    <mergeCell ref="E10:F11"/>
    <mergeCell ref="A1:L1"/>
    <mergeCell ref="G10:H11"/>
    <mergeCell ref="A9:B9"/>
    <mergeCell ref="G9:H9"/>
    <mergeCell ref="I9:J9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J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10" customWidth="1" min="4" max="4"/>
    <col width="18" customWidth="1" min="5" max="5"/>
    <col width="18" customWidth="1" min="6" max="6"/>
    <col width="35" customWidth="1" min="7" max="7"/>
    <col width="14" customWidth="1" min="8" max="8"/>
    <col width="18" customWidth="1" min="9" max="9"/>
    <col width="30" customWidth="1" min="10" max="10"/>
  </cols>
  <sheetData>
    <row r="1" ht="30" customHeight="1">
      <c r="A1" s="1" t="inlineStr">
        <is>
          <t>REGISTRO DE MOVIMIENTOS - SISTEMA FINANCIERO 2026</t>
        </is>
      </c>
    </row>
    <row r="2" ht="20" customHeight="1">
      <c r="A2" s="7" t="inlineStr">
        <is>
          <t>Fecha</t>
        </is>
      </c>
      <c r="B2" s="7" t="inlineStr">
        <is>
          <t>Mes</t>
        </is>
      </c>
      <c r="C2" s="7" t="inlineStr">
        <is>
          <t>Anio</t>
        </is>
      </c>
      <c r="D2" s="7" t="inlineStr">
        <is>
          <t>Tipo</t>
        </is>
      </c>
      <c r="E2" s="7" t="inlineStr">
        <is>
          <t>Categoria</t>
        </is>
      </c>
      <c r="F2" s="7" t="inlineStr">
        <is>
          <t>Subcategoria</t>
        </is>
      </c>
      <c r="G2" s="7" t="inlineStr">
        <is>
          <t>Descripcion</t>
        </is>
      </c>
      <c r="H2" s="7" t="inlineStr">
        <is>
          <t>Importe</t>
        </is>
      </c>
      <c r="I2" s="7" t="inlineStr">
        <is>
          <t>Metodo de Pago</t>
        </is>
      </c>
      <c r="J2" s="7" t="inlineStr">
        <is>
          <t>Comentarios</t>
        </is>
      </c>
    </row>
    <row r="3">
      <c r="A3" s="23" t="n">
        <v>46174</v>
      </c>
      <c r="B3" s="24" t="inlineStr">
        <is>
          <t>Junio</t>
        </is>
      </c>
      <c r="C3" s="24" t="n">
        <v>2026</v>
      </c>
      <c r="D3" s="24" t="inlineStr">
        <is>
          <t>Ingreso</t>
        </is>
      </c>
      <c r="E3" s="5" t="inlineStr">
        <is>
          <t>Nomina</t>
        </is>
      </c>
      <c r="F3" s="5" t="inlineStr">
        <is>
          <t>Salario neto</t>
        </is>
      </c>
      <c r="G3" s="5" t="inlineStr">
        <is>
          <t>Salario neto junio 2026</t>
        </is>
      </c>
      <c r="H3" s="19" t="n">
        <v>2000</v>
      </c>
      <c r="I3" s="24" t="inlineStr">
        <is>
          <t>Transferencia</t>
        </is>
      </c>
      <c r="J3" s="5" t="inlineStr">
        <is>
          <t>Ingreso mensual regular</t>
        </is>
      </c>
    </row>
    <row r="4">
      <c r="A4" s="25" t="n">
        <v>46174</v>
      </c>
      <c r="B4" s="26" t="inlineStr">
        <is>
          <t>Junio</t>
        </is>
      </c>
      <c r="C4" s="26" t="n">
        <v>2026</v>
      </c>
      <c r="D4" s="26" t="inlineStr">
        <is>
          <t>Gasto</t>
        </is>
      </c>
      <c r="E4" s="10" t="inlineStr">
        <is>
          <t>Vivienda</t>
        </is>
      </c>
      <c r="F4" s="10" t="inlineStr">
        <is>
          <t>Alquiler</t>
        </is>
      </c>
      <c r="G4" s="10" t="inlineStr">
        <is>
          <t>Piso alquiler junio</t>
        </is>
      </c>
      <c r="H4" s="17" t="n">
        <v>1000</v>
      </c>
      <c r="I4" s="26" t="inlineStr">
        <is>
          <t>Transferencia</t>
        </is>
      </c>
      <c r="J4" s="10" t="inlineStr">
        <is>
          <t>Gasto fijo</t>
        </is>
      </c>
    </row>
    <row r="5">
      <c r="A5" s="23" t="n">
        <v>46174</v>
      </c>
      <c r="B5" s="24" t="inlineStr">
        <is>
          <t>Junio</t>
        </is>
      </c>
      <c r="C5" s="24" t="n">
        <v>2026</v>
      </c>
      <c r="D5" s="24" t="inlineStr">
        <is>
          <t>Gasto</t>
        </is>
      </c>
      <c r="E5" s="5" t="inlineStr">
        <is>
          <t>Transporte</t>
        </is>
      </c>
      <c r="F5" s="5" t="inlineStr">
        <is>
          <t>Coche</t>
        </is>
      </c>
      <c r="G5" s="5" t="inlineStr">
        <is>
          <t>Cuota coche junio</t>
        </is>
      </c>
      <c r="H5" s="19" t="n">
        <v>450</v>
      </c>
      <c r="I5" s="24" t="inlineStr">
        <is>
          <t>Domiciliacion</t>
        </is>
      </c>
      <c r="J5" s="5" t="inlineStr">
        <is>
          <t>Gasto fijo</t>
        </is>
      </c>
    </row>
    <row r="6">
      <c r="A6" s="25" t="n">
        <v>46174</v>
      </c>
      <c r="B6" s="26" t="inlineStr">
        <is>
          <t>Junio</t>
        </is>
      </c>
      <c r="C6" s="26" t="n">
        <v>2026</v>
      </c>
      <c r="D6" s="26" t="inlineStr">
        <is>
          <t>Gasto</t>
        </is>
      </c>
      <c r="E6" s="10" t="inlineStr">
        <is>
          <t>Salud/Deporte</t>
        </is>
      </c>
      <c r="F6" s="10" t="inlineStr">
        <is>
          <t>Gimnasio</t>
        </is>
      </c>
      <c r="G6" s="10" t="inlineStr">
        <is>
          <t>Cuota gimnasio junio</t>
        </is>
      </c>
      <c r="H6" s="17" t="n">
        <v>25</v>
      </c>
      <c r="I6" s="26" t="inlineStr">
        <is>
          <t>Domiciliacion</t>
        </is>
      </c>
      <c r="J6" s="10" t="inlineStr">
        <is>
          <t>Gasto fijo</t>
        </is>
      </c>
    </row>
    <row r="7">
      <c r="A7" s="23" t="n">
        <v>46174</v>
      </c>
      <c r="B7" s="24" t="inlineStr">
        <is>
          <t>Junio</t>
        </is>
      </c>
      <c r="C7" s="24" t="n">
        <v>2026</v>
      </c>
      <c r="D7" s="24" t="inlineStr">
        <is>
          <t>Gasto</t>
        </is>
      </c>
      <c r="E7" s="5" t="inlineStr">
        <is>
          <t>Formacion</t>
        </is>
      </c>
      <c r="F7" s="5" t="inlineStr">
        <is>
          <t>TraderLab</t>
        </is>
      </c>
      <c r="G7" s="5" t="inlineStr">
        <is>
          <t>Suscripcion TraderLab junio</t>
        </is>
      </c>
      <c r="H7" s="19" t="n">
        <v>100</v>
      </c>
      <c r="I7" s="24" t="inlineStr">
        <is>
          <t>Tarjeta</t>
        </is>
      </c>
      <c r="J7" s="5" t="inlineStr">
        <is>
          <t>Gasto fijo</t>
        </is>
      </c>
    </row>
    <row r="8">
      <c r="A8" s="25" t="n">
        <v>46178</v>
      </c>
      <c r="B8" s="26" t="inlineStr">
        <is>
          <t>Junio</t>
        </is>
      </c>
      <c r="C8" s="26" t="n">
        <v>2026</v>
      </c>
      <c r="D8" s="26" t="inlineStr">
        <is>
          <t>Gasto</t>
        </is>
      </c>
      <c r="E8" s="10" t="inlineStr">
        <is>
          <t>Alimentacion</t>
        </is>
      </c>
      <c r="F8" s="10" t="inlineStr">
        <is>
          <t>Supermercado</t>
        </is>
      </c>
      <c r="G8" s="10" t="inlineStr">
        <is>
          <t>Compra semanal Mercadona</t>
        </is>
      </c>
      <c r="H8" s="17" t="n">
        <v>85.5</v>
      </c>
      <c r="I8" s="26" t="inlineStr">
        <is>
          <t>Tarjeta</t>
        </is>
      </c>
      <c r="J8" s="10" t="inlineStr"/>
    </row>
    <row r="9">
      <c r="A9" s="23" t="n">
        <v>46183</v>
      </c>
      <c r="B9" s="24" t="inlineStr">
        <is>
          <t>Junio</t>
        </is>
      </c>
      <c r="C9" s="24" t="n">
        <v>2026</v>
      </c>
      <c r="D9" s="24" t="inlineStr">
        <is>
          <t>Gasto</t>
        </is>
      </c>
      <c r="E9" s="5" t="inlineStr">
        <is>
          <t>Restaurantes</t>
        </is>
      </c>
      <c r="F9" s="5" t="inlineStr">
        <is>
          <t>Comida fuera</t>
        </is>
      </c>
      <c r="G9" s="5" t="inlineStr">
        <is>
          <t>Restaurante con familia</t>
        </is>
      </c>
      <c r="H9" s="19" t="n">
        <v>35</v>
      </c>
      <c r="I9" s="24" t="inlineStr">
        <is>
          <t>Tarjeta</t>
        </is>
      </c>
      <c r="J9" s="5" t="inlineStr">
        <is>
          <t>Gasto capricho</t>
        </is>
      </c>
    </row>
    <row r="10">
      <c r="A10" s="25" t="n">
        <v>46188</v>
      </c>
      <c r="B10" s="26" t="inlineStr">
        <is>
          <t>Junio</t>
        </is>
      </c>
      <c r="C10" s="26" t="n">
        <v>2026</v>
      </c>
      <c r="D10" s="26" t="inlineStr">
        <is>
          <t>Ingreso</t>
        </is>
      </c>
      <c r="E10" s="10" t="inlineStr">
        <is>
          <t>Trading</t>
        </is>
      </c>
      <c r="F10" s="10" t="inlineStr">
        <is>
          <t>Payout</t>
        </is>
      </c>
      <c r="G10" s="10" t="inlineStr">
        <is>
          <t>Payout FTMO junio</t>
        </is>
      </c>
      <c r="H10" s="17" t="n">
        <v>350</v>
      </c>
      <c r="I10" s="26" t="inlineStr">
        <is>
          <t>Transferencia</t>
        </is>
      </c>
      <c r="J10" s="10" t="inlineStr">
        <is>
          <t>Beneficios trading</t>
        </is>
      </c>
    </row>
    <row r="11">
      <c r="A11" s="23" t="n">
        <v>46193</v>
      </c>
      <c r="B11" s="24" t="inlineStr">
        <is>
          <t>Junio</t>
        </is>
      </c>
      <c r="C11" s="24" t="n">
        <v>2026</v>
      </c>
      <c r="D11" s="24" t="inlineStr">
        <is>
          <t>Gasto</t>
        </is>
      </c>
      <c r="E11" s="5" t="inlineStr">
        <is>
          <t>Ahorro</t>
        </is>
      </c>
      <c r="F11" s="5" t="inlineStr">
        <is>
          <t>Ahorro mensual</t>
        </is>
      </c>
      <c r="G11" s="5" t="inlineStr">
        <is>
          <t>Aportacion ahorro junio</t>
        </is>
      </c>
      <c r="H11" s="19" t="n">
        <v>200</v>
      </c>
      <c r="I11" s="24" t="inlineStr">
        <is>
          <t>Transferencia</t>
        </is>
      </c>
      <c r="J11" s="5" t="inlineStr">
        <is>
          <t>10% ingreso mensual</t>
        </is>
      </c>
    </row>
    <row r="12">
      <c r="A12" s="25" t="n">
        <v>46193</v>
      </c>
      <c r="B12" s="26" t="inlineStr">
        <is>
          <t>Junio</t>
        </is>
      </c>
      <c r="C12" s="26" t="n">
        <v>2026</v>
      </c>
      <c r="D12" s="26" t="inlineStr">
        <is>
          <t>Gasto</t>
        </is>
      </c>
      <c r="E12" s="10" t="inlineStr">
        <is>
          <t>Inversion</t>
        </is>
      </c>
      <c r="F12" s="10" t="inlineStr">
        <is>
          <t>Bankroll</t>
        </is>
      </c>
      <c r="G12" s="10" t="inlineStr">
        <is>
          <t>Aportacion bankroll junio</t>
        </is>
      </c>
      <c r="H12" s="17" t="n">
        <v>200</v>
      </c>
      <c r="I12" s="26" t="inlineStr">
        <is>
          <t>Transferencia</t>
        </is>
      </c>
      <c r="J12" s="10" t="inlineStr">
        <is>
          <t>10% ingreso mensual</t>
        </is>
      </c>
    </row>
  </sheetData>
  <mergeCells count="1">
    <mergeCell ref="A1:J1"/>
  </mergeCells>
  <dataValidations count="3">
    <dataValidation sqref="D3:D1000" showDropDown="0" showInputMessage="0" showErrorMessage="0" allowBlank="0" type="list">
      <formula1>"Ingreso,Gasto"</formula1>
    </dataValidation>
    <dataValidation sqref="E3:E1000" showDropDown="0" showInputMessage="0" showErrorMessage="0" allowBlank="1" type="list">
      <formula1>"Nomina,Vivienda,Transporte,Salud/Deporte,Formacion,Alimentacion,Restaurantes,Trading,Ahorro,Inversion,Ocio,Suscripciones,Amazon,Compras,Otros"</formula1>
    </dataValidation>
    <dataValidation sqref="I3:I1000" showDropDown="0" showInputMessage="0" showErrorMessage="0" allowBlank="1" type="list">
      <formula1>"Efectivo,Tarjeta,Transferencia,Domiciliacion,Bizum"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6" customWidth="1" min="4" max="4"/>
    <col width="35" customWidth="1" min="5" max="5"/>
  </cols>
  <sheetData>
    <row r="1" ht="30" customHeight="1">
      <c r="A1" s="1" t="inlineStr">
        <is>
          <t>PRESUPUESTO MENSUAL - JUNIO 2026</t>
        </is>
      </c>
    </row>
    <row r="3" ht="28" customHeight="1">
      <c r="A3" s="6" t="inlineStr">
        <is>
          <t>Ingreso neto mensual - MODIFICA AQUI CADA MES:</t>
        </is>
      </c>
      <c r="D3" s="27" t="n">
        <v>2000</v>
      </c>
    </row>
    <row r="4" ht="22" customHeight="1">
      <c r="A4" s="2" t="inlineStr">
        <is>
          <t>&gt;&gt;&gt; ESTA ES LA CELDA CLAVE: cambia D3 cada mes y todo el sistema se actualiza &lt;&lt;&lt;</t>
        </is>
      </c>
    </row>
    <row r="6">
      <c r="A6" s="1" t="inlineStr">
        <is>
          <t>GASTOS FIJOS MENSUALES</t>
        </is>
      </c>
    </row>
    <row r="7" ht="20" customHeight="1">
      <c r="A7" s="7" t="inlineStr">
        <is>
          <t>Concepto</t>
        </is>
      </c>
      <c r="B7" s="7" t="inlineStr">
        <is>
          <t>Categoria</t>
        </is>
      </c>
      <c r="C7" s="7" t="inlineStr">
        <is>
          <t>Importe</t>
        </is>
      </c>
      <c r="D7" s="7" t="inlineStr">
        <is>
          <t>% Ingreso</t>
        </is>
      </c>
      <c r="E7" s="7" t="inlineStr">
        <is>
          <t>Estado</t>
        </is>
      </c>
    </row>
    <row r="8">
      <c r="A8" s="10" t="inlineStr">
        <is>
          <t>Piso</t>
        </is>
      </c>
      <c r="B8" s="10" t="inlineStr">
        <is>
          <t>Vivienda</t>
        </is>
      </c>
      <c r="C8" s="17" t="n">
        <v>1000</v>
      </c>
      <c r="D8" s="18">
        <f>C8/$D$3</f>
        <v/>
      </c>
      <c r="E8" s="26" t="inlineStr">
        <is>
          <t>Fijo</t>
        </is>
      </c>
    </row>
    <row r="9">
      <c r="A9" s="5" t="inlineStr">
        <is>
          <t>Coche</t>
        </is>
      </c>
      <c r="B9" s="5" t="inlineStr">
        <is>
          <t>Transporte</t>
        </is>
      </c>
      <c r="C9" s="19" t="n">
        <v>450</v>
      </c>
      <c r="D9" s="20">
        <f>C9/$D$3</f>
        <v/>
      </c>
      <c r="E9" s="24" t="inlineStr">
        <is>
          <t>Fijo</t>
        </is>
      </c>
    </row>
    <row r="10">
      <c r="A10" s="10" t="inlineStr">
        <is>
          <t>Gimnasio</t>
        </is>
      </c>
      <c r="B10" s="10" t="inlineStr">
        <is>
          <t>Salud/Deporte</t>
        </is>
      </c>
      <c r="C10" s="17" t="n">
        <v>25</v>
      </c>
      <c r="D10" s="18">
        <f>C10/$D$3</f>
        <v/>
      </c>
      <c r="E10" s="26" t="inlineStr">
        <is>
          <t>Fijo</t>
        </is>
      </c>
    </row>
    <row r="11">
      <c r="A11" s="5" t="inlineStr">
        <is>
          <t>TraderLab</t>
        </is>
      </c>
      <c r="B11" s="5" t="inlineStr">
        <is>
          <t>Formacion</t>
        </is>
      </c>
      <c r="C11" s="19" t="n">
        <v>100</v>
      </c>
      <c r="D11" s="20">
        <f>C11/$D$3</f>
        <v/>
      </c>
      <c r="E11" s="24" t="inlineStr">
        <is>
          <t>Fijo</t>
        </is>
      </c>
    </row>
    <row r="12">
      <c r="A12" s="4" t="inlineStr">
        <is>
          <t>TOTAL GASTOS FIJOS</t>
        </is>
      </c>
      <c r="B12" s="2" t="inlineStr"/>
      <c r="C12" s="21">
        <f>SUM(C8:C11)</f>
        <v/>
      </c>
      <c r="D12" s="22">
        <f>C12/$D$3</f>
        <v/>
      </c>
    </row>
    <row r="14">
      <c r="A14" s="1" t="inlineStr">
        <is>
          <t>DISTRIBUCION AUTOMATICA (% INGRESO)</t>
        </is>
      </c>
    </row>
    <row r="15">
      <c r="A15" s="7" t="inlineStr">
        <is>
          <t>Concepto</t>
        </is>
      </c>
      <c r="B15" s="7" t="inlineStr">
        <is>
          <t>% Aplicado</t>
        </is>
      </c>
      <c r="C15" s="7" t="inlineStr">
        <is>
          <t>Importe</t>
        </is>
      </c>
      <c r="D15" s="7" t="inlineStr">
        <is>
          <t>Objetivo anual</t>
        </is>
      </c>
      <c r="E15" s="7" t="inlineStr">
        <is>
          <t>Descripcion</t>
        </is>
      </c>
    </row>
    <row r="16">
      <c r="A16" s="9" t="inlineStr">
        <is>
          <t>Bankroll</t>
        </is>
      </c>
      <c r="B16" s="28" t="n">
        <v>0.1</v>
      </c>
      <c r="C16" s="17">
        <f>$D$3*B16</f>
        <v/>
      </c>
      <c r="D16" s="17">
        <f>$D$3*B16*12</f>
        <v/>
      </c>
      <c r="E16" s="10" t="inlineStr">
        <is>
          <t>10% para capital de trading</t>
        </is>
      </c>
    </row>
    <row r="17">
      <c r="A17" s="8" t="inlineStr">
        <is>
          <t>Ahorro</t>
        </is>
      </c>
      <c r="B17" s="15" t="n">
        <v>0.1</v>
      </c>
      <c r="C17" s="19">
        <f>$D$3*B17</f>
        <v/>
      </c>
      <c r="D17" s="19">
        <f>$D$3*B17*12</f>
        <v/>
      </c>
      <c r="E17" s="5" t="inlineStr">
        <is>
          <t>10% para fondo de ahorro</t>
        </is>
      </c>
    </row>
    <row r="18">
      <c r="A18" s="9" t="inlineStr">
        <is>
          <t>Caprichos</t>
        </is>
      </c>
      <c r="B18" s="28" t="n">
        <v>0.05</v>
      </c>
      <c r="C18" s="17">
        <f>$D$3*B18</f>
        <v/>
      </c>
      <c r="D18" s="17">
        <f>$D$3*B18*12</f>
        <v/>
      </c>
      <c r="E18" s="10" t="inlineStr">
        <is>
          <t>5% para gastos personales</t>
        </is>
      </c>
    </row>
    <row r="20">
      <c r="A20" s="1" t="inlineStr">
        <is>
          <t>RESUMEN Y DISPONIBLE</t>
        </is>
      </c>
    </row>
    <row r="21">
      <c r="A21" s="7" t="inlineStr">
        <is>
          <t>Concepto</t>
        </is>
      </c>
      <c r="C21" s="7" t="inlineStr">
        <is>
          <t>Importe</t>
        </is>
      </c>
    </row>
    <row r="22">
      <c r="A22" s="10" t="inlineStr">
        <is>
          <t>Ingreso neto mensual</t>
        </is>
      </c>
      <c r="C22" s="17">
        <f>$D$3</f>
        <v/>
      </c>
    </row>
    <row r="23">
      <c r="A23" s="5" t="inlineStr">
        <is>
          <t>(-) Total gastos fijos</t>
        </is>
      </c>
      <c r="C23" s="19">
        <f>-C12</f>
        <v/>
      </c>
    </row>
    <row r="24">
      <c r="A24" s="10" t="inlineStr">
        <is>
          <t>(-) Bankroll (10%)</t>
        </is>
      </c>
      <c r="C24" s="17">
        <f>-C16</f>
        <v/>
      </c>
    </row>
    <row r="25">
      <c r="A25" s="5" t="inlineStr">
        <is>
          <t>(-) Ahorro (10%)</t>
        </is>
      </c>
      <c r="C25" s="19">
        <f>-C17</f>
        <v/>
      </c>
    </row>
    <row r="26">
      <c r="A26" s="10" t="inlineStr">
        <is>
          <t>(-) Caprichos (5%)</t>
        </is>
      </c>
      <c r="C26" s="17">
        <f>-C18</f>
        <v/>
      </c>
    </row>
    <row r="27">
      <c r="A27" s="4" t="inlineStr">
        <is>
          <t>DISPONIBLE RESTANTE</t>
        </is>
      </c>
      <c r="C27" s="21">
        <f>SUM(C22:C26)</f>
        <v/>
      </c>
    </row>
    <row r="28">
      <c r="A28" s="4" t="inlineStr">
        <is>
          <t>% Gastado (fijos/ingreso)</t>
        </is>
      </c>
      <c r="C28" s="22">
        <f>C12/$D$3</f>
        <v/>
      </c>
    </row>
    <row r="29">
      <c r="A29" s="4" t="inlineStr">
        <is>
          <t>Desviacion vs presupuesto</t>
        </is>
      </c>
      <c r="C29" s="21">
        <f>$D$3-C12</f>
        <v/>
      </c>
    </row>
    <row r="31">
      <c r="A31" s="1" t="inlineStr">
        <is>
          <t>ESTADO DEL PRESUPUESTO</t>
        </is>
      </c>
    </row>
    <row r="32">
      <c r="A32" s="9" t="inlineStr">
        <is>
          <t>Progreso gastos fijos:</t>
        </is>
      </c>
      <c r="B32" s="10">
        <f>TEXT(C28,"0.0%")&amp;" del ingreso en gastos fijos"</f>
        <v/>
      </c>
    </row>
    <row r="33">
      <c r="A33" s="9" t="inlineStr">
        <is>
          <t>Disponible restante:</t>
        </is>
      </c>
      <c r="B33" s="10">
        <f>TEXT(C27,"#,##0.00")&amp;" EUR disponibles este mes"</f>
        <v/>
      </c>
    </row>
  </sheetData>
  <mergeCells count="7">
    <mergeCell ref="A14:F14"/>
    <mergeCell ref="A1:F1"/>
    <mergeCell ref="A31:F31"/>
    <mergeCell ref="A6:F6"/>
    <mergeCell ref="A3:C3"/>
    <mergeCell ref="A4:F4"/>
    <mergeCell ref="A20:F20"/>
  </mergeCells>
  <conditionalFormatting sqref="C28">
    <cfRule type="cellIs" priority="1" operator="greaterThan" dxfId="0">
      <formula>1</formula>
    </cfRule>
    <cfRule type="cellIs" priority="2" operator="between" dxfId="1">
      <formula>0.9</formula>
      <formula>1</formula>
    </cfRule>
    <cfRule type="cellIs" priority="3" operator="lessThanOrEqual" dxfId="2">
      <formula>0.9</formula>
    </cfRule>
  </conditionalFormatting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CONTROL DE AHORRO - EVOLUCION ACUMULADA</t>
        </is>
      </c>
    </row>
    <row r="2">
      <c r="A2" s="7" t="inlineStr">
        <is>
          <t>Fecha</t>
        </is>
      </c>
      <c r="B2" s="7" t="inlineStr">
        <is>
          <t>Mes</t>
        </is>
      </c>
      <c r="C2" s="7" t="inlineStr">
        <is>
          <t>Anio</t>
        </is>
      </c>
      <c r="D2" s="7" t="inlineStr">
        <is>
          <t>Cantidad (EUR)</t>
        </is>
      </c>
      <c r="E2" s="7" t="inlineStr">
        <is>
          <t>Acumulado (EUR)</t>
        </is>
      </c>
      <c r="F2" s="7" t="inlineStr">
        <is>
          <t>Tasa Ahorro %</t>
        </is>
      </c>
    </row>
    <row r="3">
      <c r="A3" s="23" t="n">
        <v>46193</v>
      </c>
      <c r="B3" s="24" t="inlineStr">
        <is>
          <t>Junio</t>
        </is>
      </c>
      <c r="C3" s="24" t="n">
        <v>2026</v>
      </c>
      <c r="D3" s="19" t="n">
        <v>200</v>
      </c>
      <c r="E3" s="19" t="n">
        <v>2000</v>
      </c>
      <c r="F3" s="20">
        <f>D3/'PRESUPUESTO MENSUAL'!$D$3</f>
        <v/>
      </c>
    </row>
    <row r="6">
      <c r="A6" s="1" t="inlineStr">
        <is>
          <t>RESUMEN ANUAL 2026</t>
        </is>
      </c>
    </row>
    <row r="7">
      <c r="A7" s="9" t="inlineStr">
        <is>
          <t>Total ahorrado anio 2026</t>
        </is>
      </c>
      <c r="B7" s="17">
        <f>SUMPRODUCT((ISNUMBER(A3:A1000))*(YEAR(IF(ISNUMBER(A3:A1000),A3:A1000,TODAY()))=2026)*(D3:D1000))</f>
        <v/>
      </c>
    </row>
    <row r="8">
      <c r="A8" s="8" t="inlineStr">
        <is>
          <t>Ahorro mensual medio</t>
        </is>
      </c>
      <c r="B8" s="19">
        <f>IFERROR(AVERAGEIF(C3:C1000,2026,D3:D1000),0)</f>
        <v/>
      </c>
    </row>
    <row r="9">
      <c r="A9" s="9" t="inlineStr">
        <is>
          <t>Capital acumulado total</t>
        </is>
      </c>
      <c r="B9" s="17">
        <f>MAX(E3:E1000)</f>
        <v/>
      </c>
    </row>
    <row r="10">
      <c r="A10" s="8" t="inlineStr">
        <is>
          <t>Objetivo anual (10% x 12 meses)</t>
        </is>
      </c>
      <c r="B10" s="19">
        <f>'PRESUPUESTO MENSUAL'!$D$3*0.10*12</f>
        <v/>
      </c>
    </row>
    <row r="11">
      <c r="A11" s="9" t="inlineStr">
        <is>
          <t>% Cumplimiento</t>
        </is>
      </c>
      <c r="B11" s="18">
        <f>IFERROR(B8/B10,0)</f>
        <v/>
      </c>
    </row>
  </sheetData>
  <mergeCells count="2">
    <mergeCell ref="A6:F6"/>
    <mergeCell ref="A1:F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D7E14"/>
    <outlinePr summaryBelow="1" summaryRight="1"/>
    <pageSetUpPr fitToPage="1"/>
  </sheetPr>
  <dimension ref="A1:E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16" customWidth="1" min="4" max="4"/>
    <col width="20" customWidth="1" min="5" max="5"/>
  </cols>
  <sheetData>
    <row r="1" ht="30" customHeight="1">
      <c r="A1" s="1" t="inlineStr">
        <is>
          <t>CONTROL DE BANKROLL - CAPITAL DE TRADING</t>
        </is>
      </c>
    </row>
    <row r="2">
      <c r="A2" s="7" t="inlineStr">
        <is>
          <t>Fecha</t>
        </is>
      </c>
      <c r="B2" s="7" t="inlineStr">
        <is>
          <t>Mes</t>
        </is>
      </c>
      <c r="C2" s="7" t="inlineStr">
        <is>
          <t>Anio</t>
        </is>
      </c>
      <c r="D2" s="7" t="inlineStr">
        <is>
          <t>Aporte (EUR)</t>
        </is>
      </c>
      <c r="E2" s="7" t="inlineStr">
        <is>
          <t>Capital Acumulado (EUR)</t>
        </is>
      </c>
    </row>
    <row r="3">
      <c r="A3" s="25" t="n">
        <v>46193</v>
      </c>
      <c r="B3" s="26" t="inlineStr">
        <is>
          <t>Junio</t>
        </is>
      </c>
      <c r="C3" s="26" t="n">
        <v>2026</v>
      </c>
      <c r="D3" s="17" t="n">
        <v>200</v>
      </c>
      <c r="E3" s="17" t="n">
        <v>200</v>
      </c>
    </row>
    <row r="5">
      <c r="A5" s="1" t="inlineStr">
        <is>
          <t>RESUMEN</t>
        </is>
      </c>
    </row>
    <row r="6">
      <c r="A6" s="9" t="inlineStr">
        <is>
          <t>Total bankroll aportado 2026</t>
        </is>
      </c>
      <c r="B6" s="17">
        <f>SUMPRODUCT((ISNUMBER(A3:A1000))*(YEAR(IF(ISNUMBER(A3:A1000),A3:A1000,TODAY()))=2026)*(D3:D1000))</f>
        <v/>
      </c>
    </row>
    <row r="7">
      <c r="A7" s="8" t="inlineStr">
        <is>
          <t>Capital acumulado total</t>
        </is>
      </c>
      <c r="B7" s="19">
        <f>MAX(E3:E1000)</f>
        <v/>
      </c>
    </row>
    <row r="8">
      <c r="A8" s="9" t="inlineStr">
        <is>
          <t>Objetivo anual</t>
        </is>
      </c>
      <c r="B8" s="17">
        <f>'PRESUPUESTO MENSUAL'!$D$3*0.10*12</f>
        <v/>
      </c>
    </row>
    <row r="9">
      <c r="A9" s="9" t="inlineStr">
        <is>
          <t>% Cumplimiento</t>
        </is>
      </c>
      <c r="B9" s="18">
        <f>IFERROR(B6/B8,0)</f>
        <v/>
      </c>
    </row>
  </sheetData>
  <mergeCells count="2">
    <mergeCell ref="A1:E1"/>
    <mergeCell ref="A5:E5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D7E14"/>
    <outlinePr summaryBelow="1" summaryRight="1"/>
    <pageSetUpPr fitToPage="1"/>
  </sheetPr>
  <dimension ref="A1:E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35" customWidth="1" min="5" max="5"/>
  </cols>
  <sheetData>
    <row r="1" ht="30" customHeight="1">
      <c r="A1" s="1" t="inlineStr">
        <is>
          <t>DASHBOARD DE TRADING - RESULTADOS Y ANALISIS</t>
        </is>
      </c>
    </row>
    <row r="2">
      <c r="A2" s="7" t="inlineStr">
        <is>
          <t>Fecha</t>
        </is>
      </c>
      <c r="B2" s="7" t="inlineStr">
        <is>
          <t>Cuenta / Plataforma</t>
        </is>
      </c>
      <c r="C2" s="7" t="inlineStr">
        <is>
          <t>Beneficio/Perdida (EUR)</t>
        </is>
      </c>
      <c r="D2" s="7" t="inlineStr">
        <is>
          <t>Payout Recibido (EUR)</t>
        </is>
      </c>
      <c r="E2" s="7" t="inlineStr">
        <is>
          <t>Observaciones</t>
        </is>
      </c>
    </row>
    <row r="3">
      <c r="A3" s="23" t="n">
        <v>46188</v>
      </c>
      <c r="B3" s="24" t="inlineStr">
        <is>
          <t>FTMO</t>
        </is>
      </c>
      <c r="C3" s="19" t="n">
        <v>350</v>
      </c>
      <c r="D3" s="19" t="n">
        <v>350</v>
      </c>
      <c r="E3" s="5" t="inlineStr">
        <is>
          <t>Cuenta 10K - challenge superado</t>
        </is>
      </c>
    </row>
    <row r="5">
      <c r="A5" s="1" t="inlineStr">
        <is>
          <t>ESTADISTICAS DE TRADING</t>
        </is>
      </c>
    </row>
    <row r="6">
      <c r="A6" s="9" t="inlineStr">
        <is>
          <t>Beneficio mensual Jun 2026</t>
        </is>
      </c>
      <c r="B6" s="17">
        <f>SUMPRODUCT((ISNUMBER(A3:A1000))*(MONTH(IF(ISNUMBER(A3:A1000),A3:A1000,TODAY()))=6)*(YEAR(IF(ISNUMBER(A3:A1000),A3:A1000,TODAY()))=2026)*(C3:C1000))</f>
        <v/>
      </c>
    </row>
    <row r="7">
      <c r="A7" s="8" t="inlineStr">
        <is>
          <t>Beneficio anual 2026</t>
        </is>
      </c>
      <c r="B7" s="19">
        <f>SUMPRODUCT((ISNUMBER(A3:A1000))*(YEAR(IF(ISNUMBER(A3:A1000),A3:A1000,TODAY()))=2026)*(C3:C1000))</f>
        <v/>
      </c>
    </row>
    <row r="8">
      <c r="A8" s="9" t="inlineStr">
        <is>
          <t>Total payouts recibidos</t>
        </is>
      </c>
      <c r="B8" s="17">
        <f>SUM(D3:D1000)</f>
        <v/>
      </c>
    </row>
    <row r="9">
      <c r="A9" s="8" t="inlineStr">
        <is>
          <t>ROI (sobre bankroll inicial 200 EUR)</t>
        </is>
      </c>
      <c r="B9" s="20">
        <f>IFERROR(SUM(C3:C1000)/200,0)</f>
        <v/>
      </c>
    </row>
    <row r="10">
      <c r="A10" s="9" t="inlineStr">
        <is>
          <t>Mejor resultado individual</t>
        </is>
      </c>
      <c r="B10" s="17">
        <f>IFERROR(MAX(C3:C1000),0)</f>
        <v/>
      </c>
    </row>
    <row r="11">
      <c r="A11" s="8" t="inlineStr">
        <is>
          <t>Peor resultado individual</t>
        </is>
      </c>
      <c r="B11" s="19">
        <f>IFERROR(MIN(C3:C1000),0)</f>
        <v/>
      </c>
    </row>
    <row r="12">
      <c r="A12" s="9" t="inlineStr">
        <is>
          <t>Beneficio acumulado total</t>
        </is>
      </c>
      <c r="B12" s="17">
        <f>SUM(C3:C1000)</f>
        <v/>
      </c>
    </row>
    <row r="13">
      <c r="A13" s="8" t="inlineStr">
        <is>
          <t>Numero de entradas</t>
        </is>
      </c>
      <c r="B13" s="29">
        <f>COUNTA(B3:B1000)</f>
        <v/>
      </c>
    </row>
  </sheetData>
  <mergeCells count="2">
    <mergeCell ref="A1:E1"/>
    <mergeCell ref="A5:E5"/>
  </mergeCells>
  <conditionalFormatting sqref="C3:C1000">
    <cfRule type="cellIs" priority="1" operator="greaterThan" dxfId="3">
      <formula>0</formula>
    </cfRule>
    <cfRule type="cellIs" priority="2" operator="lessThan" dxfId="4">
      <formula>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D7E14"/>
    <outlinePr summaryBelow="1" summaryRight="1"/>
    <pageSetUpPr fitToPage="1"/>
  </sheetPr>
  <dimension ref="A1:E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35" customWidth="1" min="5" max="5"/>
  </cols>
  <sheetData>
    <row r="1" ht="30" customHeight="1">
      <c r="A1" s="1" t="inlineStr">
        <is>
          <t>CONTROL DE PAYOUTS - INGRESOS DE TRADING</t>
        </is>
      </c>
    </row>
    <row r="2">
      <c r="A2" s="7" t="inlineStr">
        <is>
          <t>Fecha</t>
        </is>
      </c>
      <c r="B2" s="7" t="inlineStr">
        <is>
          <t>Empresa / Plataforma</t>
        </is>
      </c>
      <c r="C2" s="7" t="inlineStr">
        <is>
          <t>Importe (EUR)</t>
        </is>
      </c>
      <c r="D2" s="7" t="inlineStr">
        <is>
          <t>Estado</t>
        </is>
      </c>
      <c r="E2" s="7" t="inlineStr">
        <is>
          <t>Observaciones</t>
        </is>
      </c>
    </row>
    <row r="3">
      <c r="A3" s="23" t="n">
        <v>46188</v>
      </c>
      <c r="B3" s="24" t="inlineStr">
        <is>
          <t>FTMO</t>
        </is>
      </c>
      <c r="C3" s="19" t="n">
        <v>350</v>
      </c>
      <c r="D3" s="24" t="inlineStr">
        <is>
          <t>Cobrado</t>
        </is>
      </c>
      <c r="E3" s="5" t="inlineStr">
        <is>
          <t>Payout junio 2026</t>
        </is>
      </c>
    </row>
    <row r="4">
      <c r="A4" s="25" t="n">
        <v>46204</v>
      </c>
      <c r="B4" s="26" t="inlineStr">
        <is>
          <t>FTMO</t>
        </is>
      </c>
      <c r="C4" s="17" t="n">
        <v>400</v>
      </c>
      <c r="D4" s="26" t="inlineStr">
        <is>
          <t>Pendiente</t>
        </is>
      </c>
      <c r="E4" s="10" t="inlineStr">
        <is>
          <t>Payout julio 2026 - estimado</t>
        </is>
      </c>
    </row>
    <row r="6">
      <c r="A6" s="9" t="inlineStr">
        <is>
          <t>Total cobrado</t>
        </is>
      </c>
      <c r="B6" s="17">
        <f>SUMIF(D3:D1000,"Cobrado",C3:C1000)</f>
        <v/>
      </c>
    </row>
    <row r="7">
      <c r="A7" s="8" t="inlineStr">
        <is>
          <t>Total pendiente</t>
        </is>
      </c>
      <c r="B7" s="19">
        <f>SUMIF(D3:D1000,"Pendiente",C3:C1000)</f>
        <v/>
      </c>
    </row>
    <row r="8">
      <c r="A8" s="9" t="inlineStr">
        <is>
          <t>Total anual 2026</t>
        </is>
      </c>
      <c r="B8" s="17">
        <f>SUMPRODUCT((ISNUMBER(A3:A1000))*(YEAR(IF(ISNUMBER(A3:A1000),A3:A1000,TODAY()))=2026)*(C3:C1000))</f>
        <v/>
      </c>
    </row>
    <row r="9">
      <c r="A9" s="8" t="inlineStr">
        <is>
          <t>Total historico</t>
        </is>
      </c>
      <c r="B9" s="19">
        <f>SUM(C3:C1000)</f>
        <v/>
      </c>
    </row>
  </sheetData>
  <mergeCells count="1">
    <mergeCell ref="A1:E1"/>
  </mergeCells>
  <conditionalFormatting sqref="D3:D1000">
    <cfRule type="expression" priority="1" dxfId="3">
      <formula>D3="Cobrado"</formula>
    </cfRule>
    <cfRule type="expression" priority="2" dxfId="5">
      <formula>D3="Pendiente"</formula>
    </cfRule>
  </conditionalFormatting>
  <dataValidations count="1">
    <dataValidation sqref="D3:D1000" showDropDown="0" showInputMessage="0" showErrorMessage="0" allowBlank="1" type="list">
      <formula1>"Cobrado,Pendiente,Cancelado"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D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</cols>
  <sheetData>
    <row r="1" ht="30" customHeight="1">
      <c r="A1" s="1" t="inlineStr">
        <is>
          <t>PATRIMONIO NETO - ACTIVOS Y PASIVOS</t>
        </is>
      </c>
    </row>
    <row r="3">
      <c r="A3" s="11" t="inlineStr">
        <is>
          <t>ACTIVOS</t>
        </is>
      </c>
    </row>
    <row r="4">
      <c r="A4" s="7" t="inlineStr">
        <is>
          <t>Concepto</t>
        </is>
      </c>
      <c r="B4" s="7" t="inlineStr">
        <is>
          <t>Valor Actual (EUR)</t>
        </is>
      </c>
      <c r="C4" s="7" t="inlineStr">
        <is>
          <t>Notas</t>
        </is>
      </c>
    </row>
    <row r="5">
      <c r="A5" s="10" t="inlineStr">
        <is>
          <t>Cuenta Bancaria Corriente</t>
        </is>
      </c>
      <c r="B5" s="17" t="n">
        <v>500</v>
      </c>
      <c r="C5" s="10" t="inlineStr">
        <is>
          <t>Saldo en cuenta corriente</t>
        </is>
      </c>
    </row>
    <row r="6">
      <c r="A6" s="5" t="inlineStr">
        <is>
          <t>Fondo de Ahorro</t>
        </is>
      </c>
      <c r="B6" s="19" t="n">
        <v>2000</v>
      </c>
      <c r="C6" s="5" t="inlineStr">
        <is>
          <t>Ahorro acumulado</t>
        </is>
      </c>
    </row>
    <row r="7">
      <c r="A7" s="10" t="inlineStr">
        <is>
          <t>Bankroll Trading</t>
        </is>
      </c>
      <c r="B7" s="17" t="n">
        <v>200</v>
      </c>
      <c r="C7" s="10" t="inlineStr">
        <is>
          <t>Capital para trading</t>
        </is>
      </c>
    </row>
    <row r="8">
      <c r="A8" s="5" t="inlineStr">
        <is>
          <t>Capital en Plataformas</t>
        </is>
      </c>
      <c r="B8" s="19" t="n">
        <v>0</v>
      </c>
      <c r="C8" s="5" t="inlineStr">
        <is>
          <t>Fondos en brokers/prop firms</t>
        </is>
      </c>
    </row>
    <row r="9">
      <c r="A9" s="10" t="inlineStr">
        <is>
          <t>Otros Activos</t>
        </is>
      </c>
      <c r="B9" s="17" t="n">
        <v>0</v>
      </c>
      <c r="C9" s="10" t="inlineStr">
        <is>
          <t>Otros activos</t>
        </is>
      </c>
    </row>
    <row r="10">
      <c r="A10" s="11" t="inlineStr">
        <is>
          <t>TOTAL ACTIVOS</t>
        </is>
      </c>
      <c r="B10" s="30">
        <f>SUM(B5:B9)</f>
        <v/>
      </c>
    </row>
    <row r="12">
      <c r="A12" s="12" t="inlineStr">
        <is>
          <t>PASIVOS / DEUDAS</t>
        </is>
      </c>
    </row>
    <row r="13">
      <c r="A13" s="7" t="inlineStr">
        <is>
          <t>Concepto</t>
        </is>
      </c>
      <c r="B13" s="7" t="inlineStr">
        <is>
          <t>Valor Actual (EUR)</t>
        </is>
      </c>
      <c r="C13" s="7" t="inlineStr">
        <is>
          <t>Notas</t>
        </is>
      </c>
    </row>
    <row r="14">
      <c r="A14" s="10" t="inlineStr">
        <is>
          <t>Deudas personales</t>
        </is>
      </c>
      <c r="B14" s="17" t="n">
        <v>0</v>
      </c>
      <c r="C14" s="10" t="inlineStr"/>
    </row>
    <row r="15">
      <c r="A15" s="5" t="inlineStr">
        <is>
          <t>Financiaciones pendientes</t>
        </is>
      </c>
      <c r="B15" s="19" t="n">
        <v>0</v>
      </c>
      <c r="C15" s="5" t="inlineStr"/>
    </row>
    <row r="16">
      <c r="A16" s="10" t="inlineStr">
        <is>
          <t>Otros pasivos</t>
        </is>
      </c>
      <c r="B16" s="17" t="n">
        <v>0</v>
      </c>
      <c r="C16" s="10" t="inlineStr"/>
    </row>
    <row r="17">
      <c r="A17" s="12" t="inlineStr">
        <is>
          <t>TOTAL PASIVOS</t>
        </is>
      </c>
      <c r="B17" s="31">
        <f>SUM(B14:B16)</f>
        <v/>
      </c>
    </row>
    <row r="19">
      <c r="A19" s="1" t="inlineStr">
        <is>
          <t>PATRIMONIO NETO</t>
        </is>
      </c>
    </row>
    <row r="20">
      <c r="A20" s="4" t="inlineStr">
        <is>
          <t>PATRIMONIO NETO = Activos - Pasivos</t>
        </is>
      </c>
      <c r="B20" s="21">
        <f>B10-B17</f>
        <v/>
      </c>
    </row>
    <row r="22">
      <c r="A22" s="1" t="inlineStr">
        <is>
          <t>EVOLUCION HISTORICA DEL PATRIMONIO</t>
        </is>
      </c>
    </row>
    <row r="23">
      <c r="A23" s="7" t="inlineStr">
        <is>
          <t>Mes</t>
        </is>
      </c>
      <c r="B23" s="7" t="inlineStr">
        <is>
          <t>Activos (EUR)</t>
        </is>
      </c>
      <c r="C23" s="7" t="inlineStr">
        <is>
          <t>Pasivos (EUR)</t>
        </is>
      </c>
      <c r="D23" s="7" t="inlineStr">
        <is>
          <t>Patrimonio Neto (EUR)</t>
        </is>
      </c>
    </row>
    <row r="24">
      <c r="A24" s="10" t="inlineStr">
        <is>
          <t>Junio 2026</t>
        </is>
      </c>
      <c r="B24" s="17" t="n">
        <v>2700</v>
      </c>
      <c r="C24" s="17" t="n">
        <v>0</v>
      </c>
      <c r="D24" s="17">
        <f>B24-C24</f>
        <v/>
      </c>
    </row>
  </sheetData>
  <mergeCells count="7">
    <mergeCell ref="A1:D1"/>
    <mergeCell ref="A17"/>
    <mergeCell ref="A22:D22"/>
    <mergeCell ref="A12:D12"/>
    <mergeCell ref="A3:D3"/>
    <mergeCell ref="A10"/>
    <mergeCell ref="A19:D19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D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</cols>
  <sheetData>
    <row r="1" ht="30" customHeight="1">
      <c r="A1" s="1" t="inlineStr">
        <is>
          <t>FONDO DE EMERGENCIA - COBERTURA FINANCIERA</t>
        </is>
      </c>
    </row>
    <row r="3">
      <c r="A3" s="9" t="inlineStr">
        <is>
          <t>Gastos fijos mensuales</t>
        </is>
      </c>
      <c r="B3" s="17" t="n">
        <v>1575</v>
      </c>
    </row>
    <row r="4">
      <c r="A4" s="8" t="inlineStr">
        <is>
          <t>Objetivo 3 meses</t>
        </is>
      </c>
      <c r="B4" s="19" t="n">
        <v>4725</v>
      </c>
    </row>
    <row r="5">
      <c r="A5" s="9" t="inlineStr">
        <is>
          <t>Objetivo 6 meses (recomendado)</t>
        </is>
      </c>
      <c r="B5" s="17" t="n">
        <v>9450</v>
      </c>
    </row>
    <row r="6">
      <c r="A6" s="8" t="inlineStr">
        <is>
          <t>Objetivo 12 meses (optimo)</t>
        </is>
      </c>
      <c r="B6" s="19" t="n">
        <v>18900</v>
      </c>
    </row>
    <row r="8">
      <c r="A8" s="1" t="inlineStr">
        <is>
          <t>TU FONDO DE EMERGENCIA ACTUAL (edita la celda dorada)</t>
        </is>
      </c>
    </row>
    <row r="9">
      <c r="A9" s="9" t="inlineStr">
        <is>
          <t>Capital actual fondo emergencia:</t>
        </is>
      </c>
      <c r="B9" s="27" t="n">
        <v>500</v>
      </c>
    </row>
    <row r="10">
      <c r="A10" s="9" t="inlineStr">
        <is>
          <t>Meses cubiertos actualmente</t>
        </is>
      </c>
      <c r="B10" s="32">
        <f>B9/1575</f>
        <v/>
      </c>
    </row>
    <row r="11">
      <c r="A11" s="8" t="inlineStr">
        <is>
          <t>% cobertura objetivo 6 meses</t>
        </is>
      </c>
      <c r="B11" s="20">
        <f>B9/9450</f>
        <v/>
      </c>
    </row>
    <row r="12">
      <c r="A12" s="9" t="inlineStr">
        <is>
          <t>% cobertura objetivo 12 meses</t>
        </is>
      </c>
      <c r="B12" s="18">
        <f>B9/18900</f>
        <v/>
      </c>
    </row>
    <row r="13">
      <c r="A13" s="8" t="inlineStr">
        <is>
          <t>Faltan para 6 meses</t>
        </is>
      </c>
      <c r="B13" s="19">
        <f>9450-B9</f>
        <v/>
      </c>
    </row>
    <row r="14">
      <c r="A14" s="9" t="inlineStr">
        <is>
          <t>Faltan para 12 meses</t>
        </is>
      </c>
      <c r="B14" s="17">
        <f>18900-B9</f>
        <v/>
      </c>
    </row>
    <row r="16">
      <c r="A16" s="9" t="inlineStr">
        <is>
          <t>Progreso hacia 6 meses:</t>
        </is>
      </c>
      <c r="B16" s="10">
        <f>TEXT(MIN(B11,1),"0.0%")&amp;" completado (objetivo: 9,450 EUR)"</f>
        <v/>
      </c>
    </row>
    <row r="17">
      <c r="A17" s="9" t="inlineStr">
        <is>
          <t>Resumen estado:</t>
        </is>
      </c>
      <c r="B17" s="2">
        <f>IF(B11&gt;=1,"OBJETIVO 6 MESES ALCANZADO",IF(B11&gt;=0.5,"MAS DE LA MITAD COMPLETADO","EN PROGRESO - SIGUE APORTANDO"))</f>
        <v/>
      </c>
    </row>
    <row r="19">
      <c r="A19" s="1" t="inlineStr">
        <is>
          <t>HITOS DEL FONDO DE EMERGENCIA</t>
        </is>
      </c>
    </row>
    <row r="20">
      <c r="A20" s="10" t="inlineStr">
        <is>
          <t>Objetivo 1 mes: 1,575 EUR</t>
        </is>
      </c>
    </row>
    <row r="21">
      <c r="A21" s="10" t="inlineStr">
        <is>
          <t>Objetivo 3 meses: 4,725 EUR</t>
        </is>
      </c>
    </row>
    <row r="22">
      <c r="A22" s="10" t="inlineStr">
        <is>
          <t>Objetivo 6 meses: 9,450 EUR</t>
        </is>
      </c>
    </row>
    <row r="23">
      <c r="A23" s="10" t="inlineStr">
        <is>
          <t>Objetivo 12 meses: 18,900 EUR</t>
        </is>
      </c>
    </row>
  </sheetData>
  <mergeCells count="3">
    <mergeCell ref="A1:D1"/>
    <mergeCell ref="A8:D8"/>
    <mergeCell ref="A19:D19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F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 ht="30" customHeight="1">
      <c r="A1" s="1" t="inlineStr">
        <is>
          <t>OBJETIVOS FINANCIEROS ANUALES 2026</t>
        </is>
      </c>
    </row>
    <row r="2">
      <c r="A2" s="7" t="inlineStr">
        <is>
          <t>Objetivo</t>
        </is>
      </c>
      <c r="B2" s="7" t="inlineStr">
        <is>
          <t>Meta Anual (EUR)</t>
        </is>
      </c>
      <c r="C2" s="7" t="inlineStr">
        <is>
          <t>Actual (EUR)</t>
        </is>
      </c>
      <c r="D2" s="7" t="inlineStr">
        <is>
          <t>Diferencia (EUR)</t>
        </is>
      </c>
      <c r="E2" s="7" t="inlineStr">
        <is>
          <t>% Cumplimiento</t>
        </is>
      </c>
      <c r="F2" s="7" t="inlineStr">
        <is>
          <t>Estado</t>
        </is>
      </c>
    </row>
    <row r="3">
      <c r="A3" s="8" t="inlineStr">
        <is>
          <t>Ahorro anual</t>
        </is>
      </c>
      <c r="B3" s="19" t="n">
        <v>2400</v>
      </c>
      <c r="C3" s="19" t="n">
        <v>200</v>
      </c>
      <c r="D3" s="19">
        <f>C3-B3</f>
        <v/>
      </c>
      <c r="E3" s="20">
        <f>IFERROR(C3/B3,0)</f>
        <v/>
      </c>
      <c r="F3" s="5">
        <f>TEXT(IFERROR(C3/B3,0),"0.0%")&amp;IF(IFERROR(C3/B3,0)&gt;=1," COMPLETADO",IF(IFERROR(C3/B3,0)&gt;=0.5," EN BUEN CAMINO"," EN PROGRESO"))</f>
        <v/>
      </c>
    </row>
    <row r="4">
      <c r="A4" s="9" t="inlineStr">
        <is>
          <t>Bankroll anual</t>
        </is>
      </c>
      <c r="B4" s="17" t="n">
        <v>2400</v>
      </c>
      <c r="C4" s="17" t="n">
        <v>200</v>
      </c>
      <c r="D4" s="17">
        <f>C4-B4</f>
        <v/>
      </c>
      <c r="E4" s="18">
        <f>IFERROR(C4/B4,0)</f>
        <v/>
      </c>
      <c r="F4" s="10">
        <f>TEXT(IFERROR(C4/B4,0),"0.0%")&amp;IF(IFERROR(C4/B4,0)&gt;=1," COMPLETADO",IF(IFERROR(C4/B4,0)&gt;=0.5," EN BUEN CAMINO"," EN PROGRESO"))</f>
        <v/>
      </c>
    </row>
    <row r="5">
      <c r="A5" s="8" t="inlineStr">
        <is>
          <t>Patrimonio anual</t>
        </is>
      </c>
      <c r="B5" s="19" t="n">
        <v>5000</v>
      </c>
      <c r="C5" s="19" t="n">
        <v>2700</v>
      </c>
      <c r="D5" s="19">
        <f>C5-B5</f>
        <v/>
      </c>
      <c r="E5" s="20">
        <f>IFERROR(C5/B5,0)</f>
        <v/>
      </c>
      <c r="F5" s="5">
        <f>TEXT(IFERROR(C5/B5,0),"0.0%")&amp;IF(IFERROR(C5/B5,0)&gt;=1," COMPLETADO",IF(IFERROR(C5/B5,0)&gt;=0.5," EN BUEN CAMINO"," EN PROGRESO"))</f>
        <v/>
      </c>
    </row>
    <row r="6">
      <c r="A6" s="9" t="inlineStr">
        <is>
          <t>Beneficios trading</t>
        </is>
      </c>
      <c r="B6" s="17" t="n">
        <v>4200</v>
      </c>
      <c r="C6" s="17" t="n">
        <v>350</v>
      </c>
      <c r="D6" s="17">
        <f>C6-B6</f>
        <v/>
      </c>
      <c r="E6" s="18">
        <f>IFERROR(C6/B6,0)</f>
        <v/>
      </c>
      <c r="F6" s="10">
        <f>TEXT(IFERROR(C6/B6,0),"0.0%")&amp;IF(IFERROR(C6/B6,0)&gt;=1," COMPLETADO",IF(IFERROR(C6/B6,0)&gt;=0.5," EN BUEN CAMINO"," EN PROGRESO"))</f>
        <v/>
      </c>
    </row>
  </sheetData>
  <mergeCells count="1">
    <mergeCell ref="A1:F1"/>
  </mergeCells>
  <conditionalFormatting sqref="E3:E10">
    <cfRule type="cellIs" priority="1" operator="greaterThanOrEqual" dxfId="3">
      <formula>0.75</formula>
    </cfRule>
    <cfRule type="cellIs" priority="2" operator="between" dxfId="5">
      <formula>0.5</formula>
      <formula>0.75</formula>
    </cfRule>
    <cfRule type="cellIs" priority="3" operator="lessThan" dxfId="4">
      <formula>0.5</formula>
    </cfRule>
  </conditionalFormatting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50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8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inlineStr">
        <is>
          <t>GASTOS HORMIGA - CONTROL DE PEQUENOS GASTOS</t>
        </is>
      </c>
    </row>
    <row r="2">
      <c r="A2" s="7" t="inlineStr">
        <is>
          <t>Fecha</t>
        </is>
      </c>
      <c r="B2" s="7" t="inlineStr">
        <is>
          <t>Mes</t>
        </is>
      </c>
      <c r="C2" s="7" t="inlineStr">
        <is>
          <t>Categoria</t>
        </is>
      </c>
      <c r="D2" s="7" t="inlineStr">
        <is>
          <t>Descripcion</t>
        </is>
      </c>
      <c r="E2" s="7" t="inlineStr">
        <is>
          <t>Importe (EUR)</t>
        </is>
      </c>
      <c r="F2" s="7" t="inlineStr">
        <is>
          <t>% Ingreso</t>
        </is>
      </c>
      <c r="G2" s="7" t="inlineStr">
        <is>
          <t>Alerta</t>
        </is>
      </c>
    </row>
    <row r="3">
      <c r="A3" s="23" t="n">
        <v>46183</v>
      </c>
      <c r="B3" s="24" t="inlineStr">
        <is>
          <t>Junio</t>
        </is>
      </c>
      <c r="C3" s="24" t="inlineStr">
        <is>
          <t>Restaurantes</t>
        </is>
      </c>
      <c r="D3" s="5" t="inlineStr">
        <is>
          <t>Restaurante familiar</t>
        </is>
      </c>
      <c r="E3" s="19" t="n">
        <v>35</v>
      </c>
      <c r="F3" s="20">
        <f>E3/'PRESUPUESTO MENSUAL'!$D$3</f>
        <v/>
      </c>
      <c r="G3" s="24">
        <f>IF(E3/'PRESUPUESTO MENSUAL'!$D$3&gt;0.05,"ALERTA","OK")</f>
        <v/>
      </c>
    </row>
    <row r="4">
      <c r="A4" s="25" t="n">
        <v>46185</v>
      </c>
      <c r="B4" s="26" t="inlineStr">
        <is>
          <t>Junio</t>
        </is>
      </c>
      <c r="C4" s="26" t="inlineStr">
        <is>
          <t>Amazon</t>
        </is>
      </c>
      <c r="D4" s="10" t="inlineStr">
        <is>
          <t>Compra Amazon impulsiva</t>
        </is>
      </c>
      <c r="E4" s="17" t="n">
        <v>28.5</v>
      </c>
      <c r="F4" s="18">
        <f>E4/'PRESUPUESTO MENSUAL'!$D$3</f>
        <v/>
      </c>
      <c r="G4" s="26">
        <f>IF(E4/'PRESUPUESTO MENSUAL'!$D$3&gt;0.05,"ALERTA","OK")</f>
        <v/>
      </c>
    </row>
    <row r="5">
      <c r="A5" s="23" t="n">
        <v>46187</v>
      </c>
      <c r="B5" s="24" t="inlineStr">
        <is>
          <t>Junio</t>
        </is>
      </c>
      <c r="C5" s="24" t="inlineStr">
        <is>
          <t>Ocio</t>
        </is>
      </c>
      <c r="D5" s="5" t="inlineStr">
        <is>
          <t>Cine + palomitas</t>
        </is>
      </c>
      <c r="E5" s="19" t="n">
        <v>18</v>
      </c>
      <c r="F5" s="20">
        <f>E5/'PRESUPUESTO MENSUAL'!$D$3</f>
        <v/>
      </c>
      <c r="G5" s="24">
        <f>IF(E5/'PRESUPUESTO MENSUAL'!$D$3&gt;0.05,"ALERTA","OK")</f>
        <v/>
      </c>
    </row>
    <row r="6">
      <c r="A6" s="25" t="n">
        <v>46191</v>
      </c>
      <c r="B6" s="26" t="inlineStr">
        <is>
          <t>Junio</t>
        </is>
      </c>
      <c r="C6" s="26" t="inlineStr">
        <is>
          <t>Suscripciones</t>
        </is>
      </c>
      <c r="D6" s="10" t="inlineStr">
        <is>
          <t>Netflix</t>
        </is>
      </c>
      <c r="E6" s="17" t="n">
        <v>13.99</v>
      </c>
      <c r="F6" s="18">
        <f>E6/'PRESUPUESTO MENSUAL'!$D$3</f>
        <v/>
      </c>
      <c r="G6" s="26">
        <f>IF(E6/'PRESUPUESTO MENSUAL'!$D$3&gt;0.05,"ALERTA","OK")</f>
        <v/>
      </c>
    </row>
    <row r="7">
      <c r="A7" s="23" t="n">
        <v>46195</v>
      </c>
      <c r="B7" s="24" t="inlineStr">
        <is>
          <t>Junio</t>
        </is>
      </c>
      <c r="C7" s="24" t="inlineStr">
        <is>
          <t>Compras impulsivas</t>
        </is>
      </c>
      <c r="D7" s="5" t="inlineStr">
        <is>
          <t>Ropa</t>
        </is>
      </c>
      <c r="E7" s="19" t="n">
        <v>45</v>
      </c>
      <c r="F7" s="20">
        <f>E7/'PRESUPUESTO MENSUAL'!$D$3</f>
        <v/>
      </c>
      <c r="G7" s="24">
        <f>IF(E7/'PRESUPUESTO MENSUAL'!$D$3&gt;0.05,"ALERTA","OK")</f>
        <v/>
      </c>
    </row>
    <row r="502">
      <c r="A502" s="1" t="inlineStr">
        <is>
          <t>RESUMEN POR CATEGORIA - JUNIO 2026</t>
        </is>
      </c>
    </row>
    <row r="503">
      <c r="A503" s="7" t="inlineStr">
        <is>
          <t>Categoria</t>
        </is>
      </c>
      <c r="B503" s="7" t="inlineStr">
        <is>
          <t>Total Mes (EUR)</t>
        </is>
      </c>
      <c r="C503" s="7" t="inlineStr">
        <is>
          <t>% Ingreso</t>
        </is>
      </c>
      <c r="D503" s="7" t="inlineStr">
        <is>
          <t>Limite 5%</t>
        </is>
      </c>
      <c r="E503" s="7" t="inlineStr">
        <is>
          <t>Estado</t>
        </is>
      </c>
    </row>
    <row r="504">
      <c r="A504" s="9" t="inlineStr">
        <is>
          <t>Restaurantes</t>
        </is>
      </c>
      <c r="B504" s="17">
        <f>SUMIF($C$3:$C$500,$A504,$E$3:$E$500)</f>
        <v/>
      </c>
      <c r="C504" s="18">
        <f>B504/'PRESUPUESTO MENSUAL'!$D$3</f>
        <v/>
      </c>
      <c r="D504" s="26" t="inlineStr">
        <is>
          <t>5% limite</t>
        </is>
      </c>
      <c r="E504">
        <f>IF(B504&gt;'PRESUPUESTO MENSUAL'!$D$3*0.05,"EXCEDIDO","OK")</f>
        <v/>
      </c>
    </row>
    <row r="505">
      <c r="A505" s="8" t="inlineStr">
        <is>
          <t>Amazon</t>
        </is>
      </c>
      <c r="B505" s="19">
        <f>SUMIF($C$3:$C$500,$A505,$E$3:$E$500)</f>
        <v/>
      </c>
      <c r="C505" s="20">
        <f>B505/'PRESUPUESTO MENSUAL'!$D$3</f>
        <v/>
      </c>
      <c r="D505" s="24" t="inlineStr">
        <is>
          <t>5% limite</t>
        </is>
      </c>
      <c r="E505">
        <f>IF(B505&gt;'PRESUPUESTO MENSUAL'!$D$3*0.05,"EXCEDIDO","OK")</f>
        <v/>
      </c>
    </row>
    <row r="506">
      <c r="A506" s="9" t="inlineStr">
        <is>
          <t>Ocio</t>
        </is>
      </c>
      <c r="B506" s="17">
        <f>SUMIF($C$3:$C$500,$A506,$E$3:$E$500)</f>
        <v/>
      </c>
      <c r="C506" s="18">
        <f>B506/'PRESUPUESTO MENSUAL'!$D$3</f>
        <v/>
      </c>
      <c r="D506" s="26" t="inlineStr">
        <is>
          <t>5% limite</t>
        </is>
      </c>
      <c r="E506">
        <f>IF(B506&gt;'PRESUPUESTO MENSUAL'!$D$3*0.05,"EXCEDIDO","OK")</f>
        <v/>
      </c>
    </row>
    <row r="507">
      <c r="A507" s="8" t="inlineStr">
        <is>
          <t>Suscripciones</t>
        </is>
      </c>
      <c r="B507" s="19">
        <f>SUMIF($C$3:$C$500,$A507,$E$3:$E$500)</f>
        <v/>
      </c>
      <c r="C507" s="20">
        <f>B507/'PRESUPUESTO MENSUAL'!$D$3</f>
        <v/>
      </c>
      <c r="D507" s="24" t="inlineStr">
        <is>
          <t>5% limite</t>
        </is>
      </c>
      <c r="E507">
        <f>IF(B507&gt;'PRESUPUESTO MENSUAL'!$D$3*0.05,"EXCEDIDO","OK")</f>
        <v/>
      </c>
    </row>
    <row r="508">
      <c r="A508" s="9" t="inlineStr">
        <is>
          <t>Compras impulsivas</t>
        </is>
      </c>
      <c r="B508" s="17">
        <f>SUMIF($C$3:$C$500,$A508,$E$3:$E$500)</f>
        <v/>
      </c>
      <c r="C508" s="18">
        <f>B508/'PRESUPUESTO MENSUAL'!$D$3</f>
        <v/>
      </c>
      <c r="D508" s="26" t="inlineStr">
        <is>
          <t>5% limite</t>
        </is>
      </c>
      <c r="E508">
        <f>IF(B508&gt;'PRESUPUESTO MENSUAL'!$D$3*0.05,"EXCEDIDO","OK")</f>
        <v/>
      </c>
    </row>
  </sheetData>
  <mergeCells count="2">
    <mergeCell ref="A502:G502"/>
    <mergeCell ref="A1:G1"/>
  </mergeCells>
  <dataValidations count="1">
    <dataValidation sqref="C3:C1000" showDropDown="0" showInputMessage="0" showErrorMessage="0" allowBlank="1" type="list">
      <formula1>"Restaurantes,Amazon,Ocio,Compras impulsivas,Suscripciones,Otros"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" customWidth="1" min="4" max="4"/>
    <col width="12" customWidth="1" min="5" max="5"/>
    <col width="15" customWidth="1" min="6" max="6"/>
    <col width="14" customWidth="1" min="7" max="7"/>
    <col width="2" customWidth="1" min="8" max="8"/>
  </cols>
  <sheetData>
    <row r="1" ht="30" customHeight="1">
      <c r="A1" s="1" t="inlineStr">
        <is>
          <t>RANKING DE MEJORES MESES - TOP 5 HISTORICO</t>
        </is>
      </c>
    </row>
    <row r="3">
      <c r="A3" s="1" t="inlineStr">
        <is>
          <t>MEJORES MESES - INGRESOS</t>
        </is>
      </c>
      <c r="D3" s="1" t="inlineStr">
        <is>
          <t>MEJORES MESES - AHORRO</t>
        </is>
      </c>
      <c r="G3" s="1" t="inlineStr">
        <is>
          <t>MEJORES MESES - TRADING</t>
        </is>
      </c>
    </row>
    <row r="4">
      <c r="A4" s="7" t="inlineStr">
        <is>
          <t>Posicion</t>
        </is>
      </c>
      <c r="B4" s="7" t="inlineStr">
        <is>
          <t>Mes</t>
        </is>
      </c>
      <c r="C4" s="7" t="inlineStr">
        <is>
          <t>Importe</t>
        </is>
      </c>
      <c r="D4" s="7" t="inlineStr">
        <is>
          <t>Posicion</t>
        </is>
      </c>
      <c r="E4" s="7" t="inlineStr">
        <is>
          <t>Mes</t>
        </is>
      </c>
      <c r="F4" s="7" t="inlineStr">
        <is>
          <t>Importe</t>
        </is>
      </c>
      <c r="G4" s="7" t="inlineStr">
        <is>
          <t>Posicion</t>
        </is>
      </c>
      <c r="H4" s="7" t="inlineStr">
        <is>
          <t>Mes</t>
        </is>
      </c>
      <c r="I4" s="7" t="inlineStr">
        <is>
          <t>Importe</t>
        </is>
      </c>
    </row>
    <row r="5">
      <c r="A5" s="2" t="inlineStr">
        <is>
          <t>1ro</t>
        </is>
      </c>
      <c r="B5" s="2" t="inlineStr">
        <is>
          <t>Junio 2026</t>
        </is>
      </c>
      <c r="C5" s="33" t="n">
        <v>2350</v>
      </c>
      <c r="D5" s="2" t="inlineStr">
        <is>
          <t>1ro</t>
        </is>
      </c>
      <c r="E5" s="2" t="inlineStr">
        <is>
          <t>Junio 2026</t>
        </is>
      </c>
      <c r="F5" s="33" t="n">
        <v>2350</v>
      </c>
      <c r="G5" s="2" t="inlineStr">
        <is>
          <t>1ro</t>
        </is>
      </c>
      <c r="H5" s="2" t="inlineStr">
        <is>
          <t>Junio 2026</t>
        </is>
      </c>
      <c r="I5" s="33" t="n">
        <v>2350</v>
      </c>
    </row>
    <row r="6">
      <c r="A6" s="5" t="inlineStr">
        <is>
          <t>2do</t>
        </is>
      </c>
      <c r="B6" s="5" t="inlineStr">
        <is>
          <t>-</t>
        </is>
      </c>
      <c r="C6" s="34" t="n">
        <v>0</v>
      </c>
      <c r="D6" s="5" t="inlineStr">
        <is>
          <t>2do</t>
        </is>
      </c>
      <c r="E6" s="5" t="inlineStr">
        <is>
          <t>-</t>
        </is>
      </c>
      <c r="F6" s="34" t="n">
        <v>0</v>
      </c>
      <c r="G6" s="5" t="inlineStr">
        <is>
          <t>2do</t>
        </is>
      </c>
      <c r="H6" s="5" t="inlineStr">
        <is>
          <t>-</t>
        </is>
      </c>
      <c r="I6" s="34" t="n">
        <v>0</v>
      </c>
    </row>
    <row r="7">
      <c r="A7" s="10" t="inlineStr">
        <is>
          <t>3ro</t>
        </is>
      </c>
      <c r="B7" s="10" t="inlineStr">
        <is>
          <t>-</t>
        </is>
      </c>
      <c r="C7" s="35" t="n">
        <v>0</v>
      </c>
      <c r="D7" s="10" t="inlineStr">
        <is>
          <t>3ro</t>
        </is>
      </c>
      <c r="E7" s="10" t="inlineStr">
        <is>
          <t>-</t>
        </is>
      </c>
      <c r="F7" s="35" t="n">
        <v>0</v>
      </c>
      <c r="G7" s="10" t="inlineStr">
        <is>
          <t>3ro</t>
        </is>
      </c>
      <c r="H7" s="10" t="inlineStr">
        <is>
          <t>-</t>
        </is>
      </c>
      <c r="I7" s="35" t="n">
        <v>0</v>
      </c>
    </row>
    <row r="8">
      <c r="A8" s="5" t="inlineStr">
        <is>
          <t>4to</t>
        </is>
      </c>
      <c r="B8" s="5" t="inlineStr">
        <is>
          <t>-</t>
        </is>
      </c>
      <c r="C8" s="34" t="n">
        <v>0</v>
      </c>
      <c r="D8" s="5" t="inlineStr">
        <is>
          <t>4to</t>
        </is>
      </c>
      <c r="E8" s="5" t="inlineStr">
        <is>
          <t>-</t>
        </is>
      </c>
      <c r="F8" s="34" t="n">
        <v>0</v>
      </c>
      <c r="G8" s="5" t="inlineStr">
        <is>
          <t>4to</t>
        </is>
      </c>
      <c r="H8" s="5" t="inlineStr">
        <is>
          <t>-</t>
        </is>
      </c>
      <c r="I8" s="34" t="n">
        <v>0</v>
      </c>
    </row>
    <row r="9">
      <c r="A9" s="10" t="inlineStr">
        <is>
          <t>5to</t>
        </is>
      </c>
      <c r="B9" s="10" t="inlineStr">
        <is>
          <t>-</t>
        </is>
      </c>
      <c r="C9" s="35" t="n">
        <v>0</v>
      </c>
      <c r="D9" s="10" t="inlineStr">
        <is>
          <t>5to</t>
        </is>
      </c>
      <c r="E9" s="10" t="inlineStr">
        <is>
          <t>-</t>
        </is>
      </c>
      <c r="F9" s="35" t="n">
        <v>0</v>
      </c>
      <c r="G9" s="10" t="inlineStr">
        <is>
          <t>5to</t>
        </is>
      </c>
      <c r="H9" s="10" t="inlineStr">
        <is>
          <t>-</t>
        </is>
      </c>
      <c r="I9" s="35" t="n">
        <v>0</v>
      </c>
    </row>
    <row r="12">
      <c r="A12" s="10" t="inlineStr">
        <is>
          <t>NOTA: Actualiza manualmente los valores de este ranking con tus datos mensuales.</t>
        </is>
      </c>
    </row>
  </sheetData>
  <mergeCells count="5">
    <mergeCell ref="A1:I1"/>
    <mergeCell ref="D3:F3"/>
    <mergeCell ref="A3:C3"/>
    <mergeCell ref="G3:I3"/>
    <mergeCell ref="A12:I12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30" customHeight="1">
      <c r="A1" s="1" t="inlineStr">
        <is>
          <t>LIBERTAD FINANCIERA - COBERTURA CON TRADING</t>
        </is>
      </c>
    </row>
    <row r="3">
      <c r="A3" s="5" t="inlineStr">
        <is>
          <t>Gastos mensuales fijos</t>
        </is>
      </c>
      <c r="B3" s="19" t="n">
        <v>1575</v>
      </c>
    </row>
    <row r="4">
      <c r="A4" s="10" t="inlineStr">
        <is>
          <t>Beneficio medio mensual trading (editar)</t>
        </is>
      </c>
      <c r="B4" s="17" t="n">
        <v>350</v>
      </c>
    </row>
    <row r="5">
      <c r="A5" s="4" t="inlineStr">
        <is>
          <t>% Cobertura actual</t>
        </is>
      </c>
      <c r="B5" s="22">
        <f>B4/B3</f>
        <v/>
      </c>
    </row>
    <row r="6">
      <c r="A6" s="10" t="inlineStr">
        <is>
          <t>Meses con datos de trading</t>
        </is>
      </c>
      <c r="B6" s="36" t="n">
        <v>1</v>
      </c>
    </row>
    <row r="8">
      <c r="A8" s="9" t="inlineStr">
        <is>
          <t>Progreso libertad financiera:</t>
        </is>
      </c>
      <c r="B8" s="10">
        <f>TEXT(MIN(B5,1),"0.0%")&amp;" de cobertura de gastos con trading"</f>
        <v/>
      </c>
    </row>
    <row r="9">
      <c r="A9" s="37" t="inlineStr">
        <is>
          <t>Estado actual:</t>
        </is>
      </c>
      <c r="B9" s="37">
        <f>"El trading cubre el "&amp;TEXT(B5,"0.0%")&amp;" de tus gastos mensuales fijos"</f>
        <v/>
      </c>
    </row>
    <row r="11">
      <c r="A11" s="1" t="inlineStr">
        <is>
          <t>HITOS DE LIBERTAD FINANCIERA</t>
        </is>
      </c>
    </row>
    <row r="12">
      <c r="A12" s="10" t="inlineStr">
        <is>
          <t>25%</t>
        </is>
      </c>
      <c r="B12" s="10" t="inlineStr">
        <is>
          <t>25% - Inicio del camino: trading cubre 1/4 de gastos</t>
        </is>
      </c>
    </row>
    <row r="13">
      <c r="A13" s="10" t="inlineStr">
        <is>
          <t>50%</t>
        </is>
      </c>
      <c r="B13" s="10" t="inlineStr">
        <is>
          <t>50% - Punto medio: trading cubre la mitad de gastos</t>
        </is>
      </c>
    </row>
    <row r="14">
      <c r="A14" s="10" t="inlineStr">
        <is>
          <t>75%</t>
        </is>
      </c>
      <c r="B14" s="10" t="inlineStr">
        <is>
          <t>75% - Casi libre: solo 25% depende del empleo</t>
        </is>
      </c>
    </row>
    <row r="15">
      <c r="A15" s="10" t="inlineStr">
        <is>
          <t>100%</t>
        </is>
      </c>
      <c r="B15" s="10" t="inlineStr">
        <is>
          <t>100% - LIBERTAD FINANCIERA: trading cubre todos los gastos</t>
        </is>
      </c>
    </row>
  </sheetData>
  <mergeCells count="2">
    <mergeCell ref="A1:D1"/>
    <mergeCell ref="A11:D11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F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0" customWidth="1" min="4" max="4"/>
    <col width="24" customWidth="1" min="5" max="5"/>
    <col width="20" customWidth="1" min="6" max="6"/>
  </cols>
  <sheetData>
    <row r="1" ht="30" customHeight="1">
      <c r="A1" s="1" t="inlineStr">
        <is>
          <t>PROYECCIONES FUTURAS - 1, 3 Y 5 ANOS</t>
        </is>
      </c>
    </row>
    <row r="3">
      <c r="A3" s="1" t="inlineStr">
        <is>
          <t>PARAMETROS DE ENTRADA (edita las celdas doradas)</t>
        </is>
      </c>
    </row>
    <row r="4">
      <c r="A4" s="9" t="inlineStr">
        <is>
          <t>Ingreso medio mensual neto</t>
        </is>
      </c>
      <c r="B4" s="27" t="n">
        <v>2000</v>
      </c>
    </row>
    <row r="5">
      <c r="A5" s="9" t="inlineStr">
        <is>
          <t>Tasa de ahorro mensual %</t>
        </is>
      </c>
      <c r="B5" s="38" t="n">
        <v>0.1</v>
      </c>
    </row>
    <row r="6">
      <c r="A6" s="9" t="inlineStr">
        <is>
          <t>Beneficio medio mensual trading</t>
        </is>
      </c>
      <c r="B6" s="27" t="n">
        <v>350</v>
      </c>
    </row>
    <row r="7">
      <c r="A7" s="9" t="inlineStr">
        <is>
          <t>Rentabilidad anual inversion %</t>
        </is>
      </c>
      <c r="B7" s="38" t="n">
        <v>0.05</v>
      </c>
    </row>
    <row r="8">
      <c r="A8" s="9" t="inlineStr">
        <is>
          <t>Aportacion bankroll mensual</t>
        </is>
      </c>
      <c r="B8" s="27" t="n">
        <v>200</v>
      </c>
    </row>
    <row r="10">
      <c r="A10" s="1" t="inlineStr">
        <is>
          <t>TABLA DE PROYECCIONES</t>
        </is>
      </c>
    </row>
    <row r="11">
      <c r="A11" s="7" t="inlineStr">
        <is>
          <t>Anio</t>
        </is>
      </c>
      <c r="B11" s="7" t="inlineStr">
        <is>
          <t>Ahorro Acum. (EUR)</t>
        </is>
      </c>
      <c r="C11" s="7" t="inlineStr">
        <is>
          <t>Bankroll (EUR)</t>
        </is>
      </c>
      <c r="D11" s="7" t="inlineStr">
        <is>
          <t>Patrimonio Total (EUR)</t>
        </is>
      </c>
      <c r="E11" s="7" t="inlineStr">
        <is>
          <t>Benef. Trading Acum. (EUR)</t>
        </is>
      </c>
      <c r="F11" s="7" t="inlineStr">
        <is>
          <t>Libertad Fin. %</t>
        </is>
      </c>
    </row>
    <row r="12">
      <c r="A12" s="8" t="inlineStr">
        <is>
          <t>Anio 1</t>
        </is>
      </c>
      <c r="B12" s="19">
        <f>$B$4*$B$5*12*1</f>
        <v/>
      </c>
      <c r="C12" s="19">
        <f>$B$8*12*1</f>
        <v/>
      </c>
      <c r="D12" s="19">
        <f>B12+C12</f>
        <v/>
      </c>
      <c r="E12" s="19">
        <f>$B$6*12*1</f>
        <v/>
      </c>
      <c r="F12" s="20">
        <f>IFERROR($B$6/1575,0)</f>
        <v/>
      </c>
    </row>
    <row r="13">
      <c r="A13" s="9" t="inlineStr">
        <is>
          <t>Anio 2</t>
        </is>
      </c>
      <c r="B13" s="17">
        <f>$B$4*$B$5*12*2</f>
        <v/>
      </c>
      <c r="C13" s="17">
        <f>$B$8*12*2</f>
        <v/>
      </c>
      <c r="D13" s="17">
        <f>B13+C13</f>
        <v/>
      </c>
      <c r="E13" s="17">
        <f>$B$6*12*2</f>
        <v/>
      </c>
      <c r="F13" s="18">
        <f>IFERROR($B$6/1575,0)</f>
        <v/>
      </c>
    </row>
    <row r="14">
      <c r="A14" s="8" t="inlineStr">
        <is>
          <t>Anio 3</t>
        </is>
      </c>
      <c r="B14" s="19">
        <f>$B$4*$B$5*12*3</f>
        <v/>
      </c>
      <c r="C14" s="19">
        <f>$B$8*12*3</f>
        <v/>
      </c>
      <c r="D14" s="19">
        <f>B14+C14</f>
        <v/>
      </c>
      <c r="E14" s="19">
        <f>$B$6*12*3</f>
        <v/>
      </c>
      <c r="F14" s="20">
        <f>IFERROR($B$6/1575,0)</f>
        <v/>
      </c>
    </row>
    <row r="15">
      <c r="A15" s="9" t="inlineStr">
        <is>
          <t>Anio 4</t>
        </is>
      </c>
      <c r="B15" s="17">
        <f>$B$4*$B$5*12*4</f>
        <v/>
      </c>
      <c r="C15" s="17">
        <f>$B$8*12*4</f>
        <v/>
      </c>
      <c r="D15" s="17">
        <f>B15+C15</f>
        <v/>
      </c>
      <c r="E15" s="17">
        <f>$B$6*12*4</f>
        <v/>
      </c>
      <c r="F15" s="18">
        <f>IFERROR($B$6/1575,0)</f>
        <v/>
      </c>
    </row>
    <row r="16">
      <c r="A16" s="8" t="inlineStr">
        <is>
          <t>Anio 5</t>
        </is>
      </c>
      <c r="B16" s="19">
        <f>$B$4*$B$5*12*5</f>
        <v/>
      </c>
      <c r="C16" s="19">
        <f>$B$8*12*5</f>
        <v/>
      </c>
      <c r="D16" s="19">
        <f>B16+C16</f>
        <v/>
      </c>
      <c r="E16" s="19">
        <f>$B$6*12*5</f>
        <v/>
      </c>
      <c r="F16" s="20">
        <f>IFERROR($B$6/1575,0)</f>
        <v/>
      </c>
    </row>
  </sheetData>
  <mergeCells count="3">
    <mergeCell ref="A3:F3"/>
    <mergeCell ref="A1:F1"/>
    <mergeCell ref="A10:F10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FD7E14"/>
    <outlinePr summaryBelow="1" summaryRight="1"/>
    <pageSetUpPr fitToPage="1"/>
  </sheetPr>
  <dimension ref="A1:D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8" customWidth="1" min="4" max="4"/>
  </cols>
  <sheetData>
    <row r="1" ht="30" customHeight="1">
      <c r="A1" s="1" t="inlineStr">
        <is>
          <t>SCORE DEL TRADER - EVALUACION INTEGRAL 0-100</t>
        </is>
      </c>
    </row>
    <row r="3">
      <c r="A3" s="1" t="inlineStr">
        <is>
          <t>COMPONENTES DEL SCORE</t>
        </is>
      </c>
    </row>
    <row r="4">
      <c r="A4" s="7" t="inlineStr">
        <is>
          <t>Componente</t>
        </is>
      </c>
      <c r="B4" s="7" t="inlineStr">
        <is>
          <t>Peso</t>
        </is>
      </c>
      <c r="C4" s="7" t="inlineStr">
        <is>
          <t>Descripcion</t>
        </is>
      </c>
      <c r="D4" s="7" t="inlineStr">
        <is>
          <t>Puntos (max 20)</t>
        </is>
      </c>
    </row>
    <row r="5">
      <c r="A5" s="9" t="inlineStr">
        <is>
          <t>Cumplimiento Ahorro</t>
        </is>
      </c>
      <c r="B5" s="26" t="inlineStr">
        <is>
          <t>20 pts</t>
        </is>
      </c>
      <c r="C5" s="10" t="inlineStr">
        <is>
          <t>200/2400 = 8.3% completado</t>
        </is>
      </c>
      <c r="D5" s="32">
        <f>MIN(20,IFERROR(200/2400*20,0))</f>
        <v/>
      </c>
    </row>
    <row r="6">
      <c r="A6" s="8" t="inlineStr">
        <is>
          <t>Cumplimiento Bankroll</t>
        </is>
      </c>
      <c r="B6" s="24" t="inlineStr">
        <is>
          <t>20 pts</t>
        </is>
      </c>
      <c r="C6" s="5" t="inlineStr">
        <is>
          <t>200/2400 = 8.3% completado</t>
        </is>
      </c>
      <c r="D6" s="39">
        <f>MIN(20,IFERROR(200/2400*20,0))</f>
        <v/>
      </c>
    </row>
    <row r="7">
      <c r="A7" s="9" t="inlineStr">
        <is>
          <t>Control de Gastos</t>
        </is>
      </c>
      <c r="B7" s="26" t="inlineStr">
        <is>
          <t>20 pts</t>
        </is>
      </c>
      <c r="C7" s="10" t="inlineStr">
        <is>
          <t>Gastos vs ingreso mensual</t>
        </is>
      </c>
      <c r="D7" s="32">
        <f>IF(1575&lt;=2000,20,MAX(0,20-((1575-2000)/2000)*20))</f>
        <v/>
      </c>
    </row>
    <row r="8">
      <c r="A8" s="8" t="inlineStr">
        <is>
          <t>Crecimiento Patrimonio</t>
        </is>
      </c>
      <c r="B8" s="24" t="inlineStr">
        <is>
          <t>20 pts</t>
        </is>
      </c>
      <c r="C8" s="5" t="inlineStr">
        <is>
          <t>2700/5000 objetivo</t>
        </is>
      </c>
      <c r="D8" s="39">
        <f>MIN(20,IFERROR(2700/5000*20,0))</f>
        <v/>
      </c>
    </row>
    <row r="9">
      <c r="A9" s="9" t="inlineStr">
        <is>
          <t>Resultados Trading</t>
        </is>
      </c>
      <c r="B9" s="26" t="inlineStr">
        <is>
          <t>20 pts</t>
        </is>
      </c>
      <c r="C9" s="10" t="inlineStr">
        <is>
          <t>350/2000 objetivo anual</t>
        </is>
      </c>
      <c r="D9" s="32">
        <f>MIN(20,IFERROR(350/2000*20,0))</f>
        <v/>
      </c>
    </row>
    <row r="10">
      <c r="A10" s="2" t="inlineStr">
        <is>
          <t>SCORE TOTAL DEL TRADER (sobre 100)</t>
        </is>
      </c>
      <c r="D10" s="40">
        <f>ROUND(SUM(D5:D9),1)</f>
        <v/>
      </c>
    </row>
    <row r="12">
      <c r="A12" s="1" t="inlineStr">
        <is>
          <t>SEMAFORO DE EVALUACION</t>
        </is>
      </c>
    </row>
    <row r="13" ht="18" customHeight="1">
      <c r="A13" s="11" t="inlineStr">
        <is>
          <t>SCORE &gt;= 70 - EXCELENTE: Vas por buen camino, manten el ritmo</t>
        </is>
      </c>
    </row>
    <row r="14" ht="18" customHeight="1">
      <c r="A14" s="2" t="inlineStr">
        <is>
          <t>SCORE 40-69 - MEJORABLE: Hay areas que necesitan atencion</t>
        </is>
      </c>
    </row>
    <row r="15" ht="18" customHeight="1">
      <c r="A15" s="12" t="inlineStr">
        <is>
          <t>SCORE &lt; 40 - ALERTA: Revisa tu estrategia financiera</t>
        </is>
      </c>
    </row>
    <row r="17">
      <c r="A17" s="9" t="inlineStr">
        <is>
          <t>Tu evaluacion:</t>
        </is>
      </c>
      <c r="B17" s="2">
        <f>IF(D10&gt;=70,"EXCELENTE - Score: "&amp;TEXT(D10,"0.0")&amp;"/100",IF(D10&gt;=40,"MEJORABLE - Score: "&amp;TEXT(D10,"0.0")&amp;"/100","ALERTA - Score: "&amp;TEXT(D10,"0.0")&amp;"/100"))</f>
        <v/>
      </c>
    </row>
  </sheetData>
  <mergeCells count="8">
    <mergeCell ref="A10:C10"/>
    <mergeCell ref="A1:D1"/>
    <mergeCell ref="A12:D12"/>
    <mergeCell ref="A3:D3"/>
    <mergeCell ref="B17:D17"/>
    <mergeCell ref="A15:D15"/>
    <mergeCell ref="A13:D13"/>
    <mergeCell ref="A14:D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2026-06-07T07:52:42Z</dcterms:created>
  <dcterms:modified xsi:type="dcterms:W3CDTF">2026-06-07T07:52:42Z</dcterms:modified>
</cp:coreProperties>
</file>