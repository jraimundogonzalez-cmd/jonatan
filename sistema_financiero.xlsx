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Print_Area" localSheetId="2">'REGISTRO DE MOVIMIENTOS'!$A$1:$L$7</definedName>
    <definedName name="_xlnm.Print_Area" localSheetId="3">'PRESUPUESTO MENSUAL'!$A$1:$H$38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9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164" fontId="6" fillId="4" borderId="1" applyAlignment="1" pivotButton="0" quotePrefix="0" xfId="21">
      <alignment horizontal="right" vertical="center" wrapText="1"/>
    </xf>
    <xf numFmtId="0" fontId="5" fillId="12" borderId="1" applyAlignment="1" pivotButton="0" quotePrefix="0" xfId="18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5" fontId="6" fillId="4" borderId="1" applyAlignment="1" pivotButton="0" quotePrefix="0" xfId="21">
      <alignment horizontal="right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2" headerRowCount="1">
  <autoFilter ref="A2:J2"/>
  <tableColumns count="10">
    <tableColumn id="1" name="Fecha"/>
    <tableColumn id="2" name="Mes"/>
    <tableColumn id="3" name="Anio"/>
    <tableColumn id="4" name="Tipo"/>
    <tableColumn id="5" name="Categoria"/>
    <tableColumn id="6" name="Subcategoria"/>
    <tableColumn id="7" name="Descripcion"/>
    <tableColumn id="8" name="Importe"/>
    <tableColumn id="9" name="Me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</sheetData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3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5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5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(% INGRESO)</t>
        </is>
      </c>
    </row>
    <row r="15">
      <c r="A15" s="7" t="inlineStr">
        <is>
          <t>Concepto</t>
        </is>
      </c>
      <c r="B15" s="7" t="inlineStr">
        <is>
          <t>% Aplicado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Bankroll</t>
        </is>
      </c>
      <c r="B16" s="26" t="n">
        <v>0.1</v>
      </c>
      <c r="C16" s="17">
        <f>$D$3*B16</f>
        <v/>
      </c>
      <c r="D16" s="17">
        <f>$D$3*B16*12</f>
        <v/>
      </c>
      <c r="E16" s="10" t="inlineStr">
        <is>
          <t>10% para capital de trading</t>
        </is>
      </c>
    </row>
    <row r="17">
      <c r="A17" s="8" t="inlineStr">
        <is>
          <t>Ahorro</t>
        </is>
      </c>
      <c r="B17" s="15" t="n">
        <v>0.1</v>
      </c>
      <c r="C17" s="19">
        <f>$D$3*B17</f>
        <v/>
      </c>
      <c r="D17" s="19">
        <f>$D$3*B17*12</f>
        <v/>
      </c>
      <c r="E17" s="5" t="inlineStr">
        <is>
          <t>10% para fondo de ahorro</t>
        </is>
      </c>
    </row>
    <row r="18">
      <c r="A18" s="9" t="inlineStr">
        <is>
          <t>Caprichos</t>
        </is>
      </c>
      <c r="B18" s="26" t="n">
        <v>0.05</v>
      </c>
      <c r="C18" s="17">
        <f>$D$3*B18</f>
        <v/>
      </c>
      <c r="D18" s="17">
        <f>$D$3*B18*12</f>
        <v/>
      </c>
      <c r="E18" s="10" t="inlineStr">
        <is>
          <t>5% para gastos personales</t>
        </is>
      </c>
    </row>
    <row r="20">
      <c r="A20" s="1" t="inlineStr">
        <is>
          <t>RESUMEN Y DISPONIBLE</t>
        </is>
      </c>
    </row>
    <row r="21">
      <c r="A21" s="7" t="inlineStr">
        <is>
          <t>Concepto</t>
        </is>
      </c>
      <c r="C21" s="7" t="inlineStr">
        <is>
          <t>Importe</t>
        </is>
      </c>
    </row>
    <row r="22">
      <c r="A22" s="10" t="inlineStr">
        <is>
          <t>Ingreso neto mensual</t>
        </is>
      </c>
      <c r="C22" s="17">
        <f>$D$3</f>
        <v/>
      </c>
    </row>
    <row r="23">
      <c r="A23" s="5" t="inlineStr">
        <is>
          <t>(-) Total gastos fijos</t>
        </is>
      </c>
      <c r="C23" s="19">
        <f>-C12</f>
        <v/>
      </c>
    </row>
    <row r="24">
      <c r="A24" s="10" t="inlineStr">
        <is>
          <t>(-) Bankroll (10%)</t>
        </is>
      </c>
      <c r="C24" s="17">
        <f>-C16</f>
        <v/>
      </c>
    </row>
    <row r="25">
      <c r="A25" s="5" t="inlineStr">
        <is>
          <t>(-) Ahorro (10%)</t>
        </is>
      </c>
      <c r="C25" s="19">
        <f>-C17</f>
        <v/>
      </c>
    </row>
    <row r="26">
      <c r="A26" s="10" t="inlineStr">
        <is>
          <t>(-) Caprichos (5%)</t>
        </is>
      </c>
      <c r="C26" s="17">
        <f>-C18</f>
        <v/>
      </c>
    </row>
    <row r="27">
      <c r="A27" s="4" t="inlineStr">
        <is>
          <t>DISPONIBLE RESTANTE</t>
        </is>
      </c>
      <c r="C27" s="21">
        <f>SUM(C22:C26)</f>
        <v/>
      </c>
    </row>
    <row r="28">
      <c r="A28" s="4" t="inlineStr">
        <is>
          <t>% Gastado (fijos/ingreso)</t>
        </is>
      </c>
      <c r="C28" s="22">
        <f>C12/$D$3</f>
        <v/>
      </c>
    </row>
    <row r="29">
      <c r="A29" s="4" t="inlineStr">
        <is>
          <t>Desviacion vs presupuesto</t>
        </is>
      </c>
      <c r="C29" s="21">
        <f>$D$3-C12</f>
        <v/>
      </c>
    </row>
    <row r="31">
      <c r="A31" s="1" t="inlineStr">
        <is>
          <t>ESTADO DEL PRESUPUESTO</t>
        </is>
      </c>
    </row>
    <row r="32">
      <c r="A32" s="9" t="inlineStr">
        <is>
          <t>Progreso gastos fijos:</t>
        </is>
      </c>
      <c r="B32" s="10">
        <f>TEXT(C28,"0.0%")&amp;" del ingreso en gastos fijos"</f>
        <v/>
      </c>
    </row>
    <row r="33">
      <c r="A33" s="9" t="inlineStr">
        <is>
          <t>Disponible restante:</t>
        </is>
      </c>
      <c r="B33" s="10">
        <f>TEXT(C27,"#,##0.00")&amp;" EUR disponibles este mes"</f>
        <v/>
      </c>
    </row>
  </sheetData>
  <mergeCells count="7">
    <mergeCell ref="A14:F14"/>
    <mergeCell ref="A1:F1"/>
    <mergeCell ref="A31:F31"/>
    <mergeCell ref="A6:F6"/>
    <mergeCell ref="A3:C3"/>
    <mergeCell ref="A4:F4"/>
    <mergeCell ref="A20:F20"/>
  </mergeCells>
  <conditionalFormatting sqref="C28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3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5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5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3" t="n">
        <v>2000</v>
      </c>
    </row>
    <row r="5">
      <c r="A5" s="9" t="inlineStr">
        <is>
          <t>Tasa de ahorro mensual %</t>
        </is>
      </c>
      <c r="B5" s="36" t="n">
        <v>0.1</v>
      </c>
    </row>
    <row r="6">
      <c r="A6" s="9" t="inlineStr">
        <is>
          <t>Beneficio medio mensual trading</t>
        </is>
      </c>
      <c r="B6" s="23" t="n">
        <v>0</v>
      </c>
    </row>
    <row r="7">
      <c r="A7" s="9" t="inlineStr">
        <is>
          <t>Rentabilidad anual inversion %</t>
        </is>
      </c>
      <c r="B7" s="36" t="n">
        <v>0.05</v>
      </c>
    </row>
    <row r="8">
      <c r="A8" s="9" t="inlineStr">
        <is>
          <t>Aportacion bankroll mensual</t>
        </is>
      </c>
      <c r="B8" s="23" t="n">
        <v>200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$B$4*$B$5*12*1</f>
        <v/>
      </c>
      <c r="C12" s="19">
        <f>$B$8*12*1</f>
        <v/>
      </c>
      <c r="D12" s="19">
        <f>B12+C12</f>
        <v/>
      </c>
      <c r="E12" s="19">
        <f>$B$6*12*1</f>
        <v/>
      </c>
      <c r="F12" s="20">
        <f>IFERROR($B$6/1575,0)</f>
        <v/>
      </c>
    </row>
    <row r="13">
      <c r="A13" s="9" t="inlineStr">
        <is>
          <t>Anio 2</t>
        </is>
      </c>
      <c r="B13" s="17">
        <f>$B$4*$B$5*12*2</f>
        <v/>
      </c>
      <c r="C13" s="17">
        <f>$B$8*12*2</f>
        <v/>
      </c>
      <c r="D13" s="17">
        <f>B13+C13</f>
        <v/>
      </c>
      <c r="E13" s="17">
        <f>$B$6*12*2</f>
        <v/>
      </c>
      <c r="F13" s="18">
        <f>IFERROR($B$6/1575,0)</f>
        <v/>
      </c>
    </row>
    <row r="14">
      <c r="A14" s="8" t="inlineStr">
        <is>
          <t>Anio 3</t>
        </is>
      </c>
      <c r="B14" s="19">
        <f>$B$4*$B$5*12*3</f>
        <v/>
      </c>
      <c r="C14" s="19">
        <f>$B$8*12*3</f>
        <v/>
      </c>
      <c r="D14" s="19">
        <f>B14+C14</f>
        <v/>
      </c>
      <c r="E14" s="19">
        <f>$B$6*12*3</f>
        <v/>
      </c>
      <c r="F14" s="20">
        <f>IFERROR($B$6/1575,0)</f>
        <v/>
      </c>
    </row>
    <row r="15">
      <c r="A15" s="9" t="inlineStr">
        <is>
          <t>Anio 4</t>
        </is>
      </c>
      <c r="B15" s="17">
        <f>$B$4*$B$5*12*4</f>
        <v/>
      </c>
      <c r="C15" s="17">
        <f>$B$8*12*4</f>
        <v/>
      </c>
      <c r="D15" s="17">
        <f>B15+C15</f>
        <v/>
      </c>
      <c r="E15" s="17">
        <f>$B$6*12*4</f>
        <v/>
      </c>
      <c r="F15" s="18">
        <f>IFERROR($B$6/1575,0)</f>
        <v/>
      </c>
    </row>
    <row r="16">
      <c r="A16" s="8" t="inlineStr">
        <is>
          <t>Anio 5</t>
        </is>
      </c>
      <c r="B16" s="19">
        <f>$B$4*$B$5*12*5</f>
        <v/>
      </c>
      <c r="C16" s="19">
        <f>$B$8*12*5</f>
        <v/>
      </c>
      <c r="D16" s="19">
        <f>B16+C16</f>
        <v/>
      </c>
      <c r="E16" s="19">
        <f>$B$6*12*5</f>
        <v/>
      </c>
      <c r="F16" s="20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5" t="inlineStr">
        <is>
          <t>20 pts</t>
        </is>
      </c>
      <c r="C6" s="5" t="inlineStr">
        <is>
          <t>Actualiza con % cumplimiento bankroll</t>
        </is>
      </c>
      <c r="D6" s="37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5" t="inlineStr">
        <is>
          <t>20 pts</t>
        </is>
      </c>
      <c r="C8" s="5" t="inlineStr">
        <is>
          <t>Actualiza con crecimiento patrimonio</t>
        </is>
      </c>
      <c r="D8" s="37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8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2026-06-07T09:32:08Z</dcterms:created>
  <dcterms:modified xsi:type="dcterms:W3CDTF">2026-06-07T09:32:08Z</dcterms:modified>
</cp:coreProperties>
</file>