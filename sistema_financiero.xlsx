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Í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RANKING MEJORES MESES" sheetId="13" state="visible" r:id="rId13"/>
    <sheet name="LIBERTAD FINANCIERA" sheetId="14" state="visible" r:id="rId14"/>
    <sheet name="PROYECCIONES FUTURAS" sheetId="15" state="visible" r:id="rId15"/>
    <sheet name="SCORE DEL TRADER" sheetId="16" state="visible" r:id="rId16"/>
  </sheets>
  <definedNames>
    <definedName name="_xlnm.Print_Area" localSheetId="0">'GUÍA DE USO'!$A$1:$J$41</definedName>
    <definedName name="_xlnm.Print_Area" localSheetId="1">'DASHBOARD EJECUTIVO'!$A$1:$N$30</definedName>
    <definedName name="_xlnm.Print_Area" localSheetId="2">'REGISTRO DE MOVIMIENTOS'!$A$1:$L$17</definedName>
    <definedName name="_xlnm.Print_Area" localSheetId="3">'PRESUPUESTO MENSUAL'!$A$1:$H$36</definedName>
    <definedName name="_xlnm.Print_Area" localSheetId="4">'CONTROL DE AHORRO'!$A$1:$H$16</definedName>
    <definedName name="_xlnm.Print_Area" localSheetId="5">'CONTROL DE BANKROLL'!$A$1:$G$13</definedName>
    <definedName name="_xlnm.Print_Area" localSheetId="6">'DASHBOARD DE TRADING'!$A$1:$G$18</definedName>
    <definedName name="_xlnm.Print_Area" localSheetId="7">'CONTROL DE PAYOUTS'!$A$1:$G$14</definedName>
    <definedName name="_xlnm.Print_Area" localSheetId="8">'PATRIMONIO NETO'!$A$1:$F$29</definedName>
    <definedName name="_xlnm.Print_Area" localSheetId="9">'FONDO DE EMERGENCIA'!$A$1:$F$27</definedName>
    <definedName name="_xlnm.Print_Area" localSheetId="10">'OBJETIVOS'!$A$1:$H$11</definedName>
    <definedName name="_xlnm.Print_Area" localSheetId="11">'GASTOS HORMIGA'!$A$1:$I$21</definedName>
    <definedName name="_xlnm.Print_Area" localSheetId="12">'RANKING MEJORES MESES'!$A$1:$M$16</definedName>
    <definedName name="_xlnm.Print_Area" localSheetId="13">'LIBERTAD FINANCIERA'!$A$1:$F$20</definedName>
    <definedName name="_xlnm.Print_Area" localSheetId="14">'PROYECCIONES FUTURAS'!$A$1:$H$21</definedName>
    <definedName name="_xlnm.Print_Area" localSheetId="15">'SCORE DEL TRADER'!$A$1:$F$22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#,##0.00 €"/>
    <numFmt numFmtId="167" formatCode="#,##0.00 meses"/>
    <numFmt numFmtId="168" formatCode="0.0 &quot;pts&quot;"/>
    <numFmt numFmtId="169" formatCode="0.0 &quot;/100&quot;"/>
  </numFmts>
  <fonts count="22">
    <font>
      <name val="Calibri"/>
      <family val="2"/>
      <color theme="1"/>
      <sz val="11"/>
      <scheme val="minor"/>
    </font>
    <font>
      <name val="Calibri"/>
      <b val="1"/>
      <color rgb="00F5A623"/>
      <sz val="16"/>
    </font>
    <font>
      <name val="Calibri"/>
      <b val="1"/>
      <color rgb="001F2D3D"/>
      <sz val="11"/>
    </font>
    <font>
      <name val="Calibri"/>
      <b val="1"/>
      <color rgb="00FFFFFF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F5A623"/>
      <sz val="12"/>
    </font>
    <font>
      <name val="Calibri"/>
      <b val="1"/>
      <color rgb="00FFFFFF"/>
      <sz val="10"/>
    </font>
    <font>
      <name val="Calibri"/>
      <b val="1"/>
      <color rgb="00F5A623"/>
      <sz val="14"/>
    </font>
    <font>
      <name val="Calibri"/>
      <b val="1"/>
      <color rgb="001F2D3D"/>
      <sz val="12"/>
    </font>
    <font>
      <name val="Calibri"/>
      <b val="1"/>
      <color rgb="00212529"/>
      <sz val="10"/>
    </font>
    <font>
      <name val="Calibri"/>
      <color rgb="001F2D3D"/>
      <sz val="11"/>
    </font>
    <font>
      <name val="Calibri"/>
      <b val="1"/>
      <color rgb="00FFFFFF"/>
      <sz val="12"/>
    </font>
    <font>
      <name val="Calibri"/>
      <b val="1"/>
      <color rgb="00F5A623"/>
      <sz val="13"/>
    </font>
    <font>
      <name val="Calibri"/>
      <color rgb="001F2D3D"/>
      <sz val="10"/>
    </font>
    <font>
      <name val="Calibri"/>
      <b val="1"/>
      <color rgb="00DC3545"/>
      <sz val="10"/>
    </font>
    <font>
      <name val="Calibri"/>
      <i val="1"/>
      <color rgb="001F2D3D"/>
      <sz val="10"/>
    </font>
    <font>
      <name val="Calibri"/>
      <color rgb="001F2D3D"/>
      <sz val="12"/>
    </font>
    <font>
      <name val="Calibri"/>
      <b val="1"/>
      <color rgb="001F2D3D"/>
      <sz val="13"/>
    </font>
    <font>
      <name val="Calibri"/>
      <b val="1"/>
      <color rgb="001F2D3D"/>
      <sz val="14"/>
    </font>
    <font>
      <name val="Calibri"/>
      <i val="1"/>
      <color rgb="00F5A623"/>
      <sz val="11"/>
    </font>
    <font>
      <name val="Calibri"/>
      <b val="1"/>
      <color rgb="00FFFFFF"/>
      <sz val="9"/>
    </font>
  </fonts>
  <fills count="14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F5A623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28A745"/>
      </patternFill>
    </fill>
    <fill>
      <patternFill patternType="solid">
        <fgColor rgb="00FFC107"/>
      </patternFill>
    </fill>
    <fill>
      <patternFill patternType="solid">
        <fgColor rgb="00DC3545"/>
      </patternFill>
    </fill>
    <fill>
      <patternFill patternType="solid">
        <fgColor rgb="00DEE2E6"/>
      </patternFill>
    </fill>
    <fill>
      <patternFill patternType="solid">
        <fgColor rgb="0020C997"/>
      </patternFill>
    </fill>
    <fill>
      <patternFill patternType="solid">
        <fgColor rgb="002C3E50"/>
      </patternFill>
    </fill>
    <fill>
      <patternFill patternType="solid">
        <fgColor rgb="00007BFF"/>
      </patternFill>
    </fill>
    <fill>
      <patternFill patternType="solid">
        <fgColor rgb="00FD7E14"/>
      </patternFill>
    </fill>
  </fills>
  <borders count="10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1F2D3D"/>
      </left>
      <right style="medium">
        <color rgb="001F2D3D"/>
      </right>
      <top style="medium">
        <color rgb="001F2D3D"/>
      </top>
      <bottom style="medium">
        <color rgb="001F2D3D"/>
      </bottom>
    </border>
    <border>
      <left style="medium">
        <color rgb="0020C997"/>
      </left>
      <right style="medium">
        <color rgb="0020C997"/>
      </right>
      <bottom style="medium">
        <color rgb="0020C997"/>
      </bottom>
    </border>
    <border>
      <left style="medium">
        <color rgb="00DC3545"/>
      </left>
      <right style="medium">
        <color rgb="00DC3545"/>
      </right>
      <bottom style="medium">
        <color rgb="00DC3545"/>
      </bottom>
    </border>
    <border>
      <left style="medium">
        <color rgb="00007BFF"/>
      </left>
      <right style="medium">
        <color rgb="00007BFF"/>
      </right>
      <bottom style="medium">
        <color rgb="00007BFF"/>
      </bottom>
    </border>
    <border>
      <left style="medium">
        <color rgb="0028A745"/>
      </left>
      <right style="medium">
        <color rgb="0028A745"/>
      </right>
      <bottom style="medium">
        <color rgb="0028A745"/>
      </bottom>
    </border>
    <border>
      <left style="medium">
        <color rgb="00FD7E14"/>
      </left>
      <right style="medium">
        <color rgb="00FD7E14"/>
      </right>
      <bottom style="medium">
        <color rgb="00FD7E14"/>
      </bottom>
    </border>
    <border>
      <left style="medium">
        <color rgb="001F2D3D"/>
      </left>
      <right style="medium">
        <color rgb="001F2D3D"/>
      </right>
      <bottom style="medium">
        <color rgb="001F2D3D"/>
      </bottom>
    </border>
    <border>
      <left style="medium">
        <color rgb="00F5A623"/>
      </left>
      <right style="medium">
        <color rgb="00F5A623"/>
      </right>
      <bottom style="medium">
        <color rgb="00F5A623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20" fillId="11" borderId="0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center" vertical="center" wrapText="1"/>
    </xf>
    <xf numFmtId="0" fontId="21" fillId="10" borderId="1" applyAlignment="1" pivotButton="0" quotePrefix="0" xfId="0">
      <alignment horizontal="center" vertical="center" wrapText="1"/>
    </xf>
    <xf numFmtId="0" fontId="21" fillId="8" borderId="1" applyAlignment="1" pivotButton="0" quotePrefix="0" xfId="0">
      <alignment horizontal="center" vertical="center" wrapText="1"/>
    </xf>
    <xf numFmtId="0" fontId="21" fillId="12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 wrapText="1"/>
    </xf>
    <xf numFmtId="0" fontId="21" fillId="13" borderId="1" applyAlignment="1" pivotButton="0" quotePrefix="0" xfId="0">
      <alignment horizontal="center" vertical="center" wrapText="1"/>
    </xf>
    <xf numFmtId="166" fontId="19" fillId="4" borderId="3" applyAlignment="1" pivotButton="0" quotePrefix="0" xfId="0">
      <alignment horizontal="center" vertical="center" wrapText="1"/>
    </xf>
    <xf numFmtId="166" fontId="19" fillId="4" borderId="4" applyAlignment="1" pivotButton="0" quotePrefix="0" xfId="0">
      <alignment horizontal="center" vertical="center" wrapText="1"/>
    </xf>
    <xf numFmtId="166" fontId="19" fillId="4" borderId="5" applyAlignment="1" pivotButton="0" quotePrefix="0" xfId="0">
      <alignment horizontal="center" vertical="center" wrapText="1"/>
    </xf>
    <xf numFmtId="166" fontId="19" fillId="4" borderId="6" applyAlignment="1" pivotButton="0" quotePrefix="0" xfId="0">
      <alignment horizontal="center" vertical="center" wrapText="1"/>
    </xf>
    <xf numFmtId="166" fontId="19" fillId="4" borderId="7" applyAlignment="1" pivotButton="0" quotePrefix="0" xfId="0">
      <alignment horizontal="center" vertical="center" wrapText="1"/>
    </xf>
    <xf numFmtId="0" fontId="21" fillId="2" borderId="1" applyAlignment="1" pivotButton="0" quotePrefix="0" xfId="0">
      <alignment horizontal="center" vertical="center" wrapText="1"/>
    </xf>
    <xf numFmtId="0" fontId="21" fillId="3" borderId="1" applyAlignment="1" pivotButton="0" quotePrefix="0" xfId="0">
      <alignment horizontal="center" vertical="center" wrapText="1"/>
    </xf>
    <xf numFmtId="166" fontId="19" fillId="4" borderId="8" applyAlignment="1" pivotButton="0" quotePrefix="0" xfId="0">
      <alignment horizontal="center" vertical="center" wrapText="1"/>
    </xf>
    <xf numFmtId="10" fontId="19" fillId="4" borderId="5" applyAlignment="1" pivotButton="0" quotePrefix="0" xfId="0">
      <alignment horizontal="center" vertical="center" wrapText="1"/>
    </xf>
    <xf numFmtId="169" fontId="19" fillId="4" borderId="9" applyAlignment="1" pivotButton="0" quotePrefix="0" xfId="0">
      <alignment horizontal="center" vertical="center" wrapText="1"/>
    </xf>
    <xf numFmtId="10" fontId="19" fillId="4" borderId="3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166" fontId="2" fillId="5" borderId="1" applyAlignment="1" pivotButton="0" quotePrefix="0" xfId="0">
      <alignment horizontal="center" vertical="center" wrapText="1"/>
    </xf>
    <xf numFmtId="10" fontId="2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0" fontId="5" fillId="4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0" fontId="5" fillId="5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0" fontId="4" fillId="5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166" fontId="9" fillId="3" borderId="2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 wrapText="1"/>
    </xf>
    <xf numFmtId="10" fontId="5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0" fontId="5" fillId="5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0" fontId="4" fillId="3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 wrapText="1"/>
    </xf>
    <xf numFmtId="0" fontId="12" fillId="6" borderId="0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166" fontId="3" fillId="6" borderId="1" applyAlignment="1" pivotButton="0" quotePrefix="0" xfId="0">
      <alignment horizontal="right" vertical="center"/>
    </xf>
    <xf numFmtId="0" fontId="12" fillId="8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166" fontId="3" fillId="8" borderId="1" applyAlignment="1" pivotButton="0" quotePrefix="0" xfId="0">
      <alignment horizontal="right" vertical="center"/>
    </xf>
    <xf numFmtId="0" fontId="13" fillId="2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  <xf numFmtId="166" fontId="9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16" fillId="4" borderId="0" applyAlignment="1" pivotButton="0" quotePrefix="0" xfId="0">
      <alignment horizontal="left" vertical="center" wrapText="1"/>
    </xf>
    <xf numFmtId="166" fontId="14" fillId="5" borderId="1" applyAlignment="1" pivotButton="0" quotePrefix="0" xfId="0">
      <alignment horizontal="right" vertical="center"/>
    </xf>
    <xf numFmtId="166" fontId="14" fillId="4" borderId="1" applyAlignment="1" pivotButton="0" quotePrefix="0" xfId="0">
      <alignment horizontal="right" vertical="center"/>
    </xf>
    <xf numFmtId="3" fontId="14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166" fontId="2" fillId="3" borderId="2" applyAlignment="1" pivotButton="0" quotePrefix="0" xfId="0">
      <alignment horizontal="right" vertical="center"/>
    </xf>
    <xf numFmtId="10" fontId="2" fillId="3" borderId="2" applyAlignment="1" pivotButton="0" quotePrefix="0" xfId="0">
      <alignment horizontal="right" vertical="center"/>
    </xf>
    <xf numFmtId="168" fontId="4" fillId="5" borderId="1" applyAlignment="1" pivotButton="0" quotePrefix="0" xfId="0">
      <alignment horizontal="right" vertical="center"/>
    </xf>
    <xf numFmtId="168" fontId="4" fillId="4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 wrapText="1"/>
    </xf>
    <xf numFmtId="169" fontId="19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Mensuales Trading (€)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Operación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Distribución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HORMIGA'!$A$12:$A$16</f>
            </numRef>
          </cat>
          <val>
            <numRef>
              <f>'GASTOS HORMIGA'!$B$12:$B$16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Proyección Patrimonial a 5 Años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ovimientos" displayName="Movimientos" ref="A2:J12" headerRowCount="1">
  <autoFilter ref="A2:J12"/>
  <tableColumns count="10">
    <tableColumn id="1" name="Fecha"/>
    <tableColumn id="2" name="Mes"/>
    <tableColumn id="3" name="Año"/>
    <tableColumn id="4" name="Tipo"/>
    <tableColumn id="5" name="Categoría"/>
    <tableColumn id="6" name="Subcategoría"/>
    <tableColumn id="7" name="Descripción"/>
    <tableColumn id="8" name="Importe"/>
    <tableColumn id="9" name="Método de Pago"/>
    <tableColumn id="10" name="Comentari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0" customWidth="1" min="2" max="2"/>
  </cols>
  <sheetData>
    <row r="1" ht="35" customHeight="1">
      <c r="A1" s="1" t="inlineStr">
        <is>
          <t>📋 GUÍA DE USO — SISTEMA FINANCIERO PERSONAL</t>
        </is>
      </c>
    </row>
    <row r="2" ht="22" customHeight="1">
      <c r="A2" s="2" t="inlineStr">
        <is>
          <t>Sistema diseñado para el control integral de tus finanzas personales y profesionales | Inicio: Junio 2026</t>
        </is>
      </c>
    </row>
    <row r="4" ht="20" customHeight="1">
      <c r="A4" s="3" t="inlineStr">
        <is>
          <t>Hoja</t>
        </is>
      </c>
      <c r="B4" s="3" t="inlineStr">
        <is>
          <t>Descripción y uso</t>
        </is>
      </c>
    </row>
    <row r="5" ht="35" customHeight="1">
      <c r="A5" s="4" t="inlineStr">
        <is>
          <t>DASHBOARD EJECUTIVO</t>
        </is>
      </c>
      <c r="B5" s="5" t="inlineStr">
        <is>
          <t>Panel principal con todos los KPIs financieros. Actualiza automáticamente con los datos de las demás hojas.</t>
        </is>
      </c>
    </row>
    <row r="6" ht="35" customHeight="1">
      <c r="A6" s="6" t="inlineStr">
        <is>
          <t>REGISTRO DE MOVIMIENTOS</t>
        </is>
      </c>
      <c r="B6" s="7" t="inlineStr">
        <is>
          <t>Registra TODOS tus ingresos y gastos aquí. Es la hoja más importante. Usa los desplegables para categorizar.</t>
        </is>
      </c>
    </row>
    <row r="7" ht="35" customHeight="1">
      <c r="A7" s="4" t="inlineStr">
        <is>
          <t>PRESUPUESTO MENSUAL</t>
        </is>
      </c>
      <c r="B7" s="5" t="inlineStr">
        <is>
          <t>Define tu presupuesto mensual. Introduce el ingreso neto y el sistema calcula automáticamente las distribuciones.</t>
        </is>
      </c>
    </row>
    <row r="8" ht="35" customHeight="1">
      <c r="A8" s="6" t="inlineStr">
        <is>
          <t>CONTROL DE AHORRO</t>
        </is>
      </c>
      <c r="B8" s="7" t="inlineStr">
        <is>
          <t>Registra tus aportaciones al ahorro mensual. El gráfico muestra la evolución acumulada.</t>
        </is>
      </c>
    </row>
    <row r="9" ht="35" customHeight="1">
      <c r="A9" s="4" t="inlineStr">
        <is>
          <t>CONTROL DE BANKROLL</t>
        </is>
      </c>
      <c r="B9" s="5" t="inlineStr">
        <is>
          <t>Registra las aportaciones al bankroll de trading (10% del ingreso mensual).</t>
        </is>
      </c>
    </row>
    <row r="10" ht="35" customHeight="1">
      <c r="A10" s="6" t="inlineStr">
        <is>
          <t>DASHBOARD DE TRADING</t>
        </is>
      </c>
      <c r="B10" s="7" t="inlineStr">
        <is>
          <t>Registra resultados de trading. Calcula ROI, mejor/peor mes y evolución acumulada.</t>
        </is>
      </c>
    </row>
    <row r="11" ht="35" customHeight="1">
      <c r="A11" s="4" t="inlineStr">
        <is>
          <t>CONTROL DE PAYOUTS</t>
        </is>
      </c>
      <c r="B11" s="5" t="inlineStr">
        <is>
          <t>Registra los pagos recibidos de plataformas de trading. Controla cobros pendientes.</t>
        </is>
      </c>
    </row>
    <row r="12" ht="35" customHeight="1">
      <c r="A12" s="6" t="inlineStr">
        <is>
          <t>PATRIMONIO NETO</t>
        </is>
      </c>
      <c r="B12" s="7" t="inlineStr">
        <is>
          <t>Calcula tu patrimonio neto (Activos - Pasivos). Actualiza mensualmente para ver evolución.</t>
        </is>
      </c>
    </row>
    <row r="13" ht="35" customHeight="1">
      <c r="A13" s="4" t="inlineStr">
        <is>
          <t>FONDO DE EMERGENCIA</t>
        </is>
      </c>
      <c r="B13" s="5" t="inlineStr">
        <is>
          <t>Controla el progreso hacia tu fondo de emergencia objetivo (6-12 meses de gastos fijos).</t>
        </is>
      </c>
    </row>
    <row r="14" ht="35" customHeight="1">
      <c r="A14" s="6" t="inlineStr">
        <is>
          <t>OBJETIVOS</t>
        </is>
      </c>
      <c r="B14" s="7" t="inlineStr">
        <is>
          <t>Define y sigue el progreso de tus objetivos financieros anuales.</t>
        </is>
      </c>
    </row>
    <row r="15" ht="35" customHeight="1">
      <c r="A15" s="4" t="inlineStr">
        <is>
          <t>GASTOS HORMIGA</t>
        </is>
      </c>
      <c r="B15" s="5" t="inlineStr">
        <is>
          <t>Registra gastos pequeños recurrentes. Detecta fugas de dinero por categoría.</t>
        </is>
      </c>
    </row>
    <row r="16" ht="35" customHeight="1">
      <c r="A16" s="6" t="inlineStr">
        <is>
          <t>RANKING MEJORES MESES</t>
        </is>
      </c>
      <c r="B16" s="7" t="inlineStr">
        <is>
          <t>Ranking automático de mejores meses. Se actualiza solo al registrar datos.</t>
        </is>
      </c>
    </row>
    <row r="17" ht="35" customHeight="1">
      <c r="A17" s="4" t="inlineStr">
        <is>
          <t>LIBERTAD FINANCIERA</t>
        </is>
      </c>
      <c r="B17" s="5" t="inlineStr">
        <is>
          <t>Mide el porcentaje de cobertura de gastos con ingresos de trading.</t>
        </is>
      </c>
    </row>
    <row r="18" ht="35" customHeight="1">
      <c r="A18" s="6" t="inlineStr">
        <is>
          <t>PROYECCIONES FUTURAS</t>
        </is>
      </c>
      <c r="B18" s="7" t="inlineStr">
        <is>
          <t>Proyecciones a 1, 3 y 5 años basadas en tus parámetros actuales.</t>
        </is>
      </c>
    </row>
    <row r="19" ht="35" customHeight="1">
      <c r="A19" s="4" t="inlineStr">
        <is>
          <t>SCORE DEL TRADER</t>
        </is>
      </c>
      <c r="B19" s="5" t="inlineStr">
        <is>
          <t>Puntuación 0-100 que evalúa tu desempeño financiero integral.</t>
        </is>
      </c>
    </row>
    <row r="21" ht="22" customHeight="1">
      <c r="A21" s="8" t="inlineStr">
        <is>
          <t>LEYENDA DE COLORES</t>
        </is>
      </c>
    </row>
    <row r="22" ht="22" customHeight="1">
      <c r="A22" s="9" t="inlineStr">
        <is>
          <t>VERDE → Indicador positivo / objetivo cumplido / dentro de presupuesto</t>
        </is>
      </c>
    </row>
    <row r="23" ht="22" customHeight="1">
      <c r="A23" s="10" t="inlineStr">
        <is>
          <t>AMARILLO → Atención / cerca del límite / entre 50-75% del objetivo</t>
        </is>
      </c>
    </row>
    <row r="24" ht="22" customHeight="1">
      <c r="A24" s="11" t="inlineStr">
        <is>
          <t>ROJO → Alerta / presupuesto excedido / objetivo no alcanzado</t>
        </is>
      </c>
    </row>
    <row r="25" ht="22" customHeight="1">
      <c r="A25" s="12" t="inlineStr">
        <is>
          <t>AZUL OSCURO → Cabeceras de tablas y secciones principales</t>
        </is>
      </c>
    </row>
    <row r="26" ht="22" customHeight="1">
      <c r="A26" s="13" t="inlineStr">
        <is>
          <t>DORADO → Subtítulos, totales y valores destacados</t>
        </is>
      </c>
    </row>
    <row r="27" ht="22" customHeight="1">
      <c r="A27" s="4" t="inlineStr">
        <is>
          <t>GRIS CLARO → Filas alternas para mejor legibilidad</t>
        </is>
      </c>
    </row>
    <row r="29" ht="22" customHeight="1">
      <c r="A29" s="8" t="inlineStr">
        <is>
          <t>CONFIGURACIÓN INICIAL DEL SISTEMA</t>
        </is>
      </c>
    </row>
    <row r="30" ht="22" customHeight="1">
      <c r="A30" s="4" t="inlineStr">
        <is>
          <t>Ingreso neto mensual de referencia:</t>
        </is>
      </c>
      <c r="B30" s="5" t="inlineStr">
        <is>
          <t>2.000 €  (rango: 1.500 € – 2.500 €)</t>
        </is>
      </c>
    </row>
    <row r="31" ht="22" customHeight="1">
      <c r="A31" s="6" t="inlineStr">
        <is>
          <t>Gastos fijos mensuales:</t>
        </is>
      </c>
      <c r="B31" s="7" t="inlineStr">
        <is>
          <t>1.575 € (Piso 1.000 + Coche 450 + Gimnasio 25 + TraderLab 100)</t>
        </is>
      </c>
    </row>
    <row r="32" ht="22" customHeight="1">
      <c r="A32" s="4" t="inlineStr">
        <is>
          <t>Bankroll (10% ingreso):</t>
        </is>
      </c>
      <c r="B32" s="5" t="inlineStr">
        <is>
          <t>200 € / mes</t>
        </is>
      </c>
    </row>
    <row r="33" ht="22" customHeight="1">
      <c r="A33" s="6" t="inlineStr">
        <is>
          <t>Ahorro (10% ingreso):</t>
        </is>
      </c>
      <c r="B33" s="7" t="inlineStr">
        <is>
          <t>200 € / mes</t>
        </is>
      </c>
    </row>
    <row r="34" ht="22" customHeight="1">
      <c r="A34" s="4" t="inlineStr">
        <is>
          <t>Caprichos (5% ingreso):</t>
        </is>
      </c>
      <c r="B34" s="5" t="inlineStr">
        <is>
          <t>100 € / mes</t>
        </is>
      </c>
    </row>
    <row r="35" ht="22" customHeight="1">
      <c r="A35" s="6" t="inlineStr">
        <is>
          <t>Inicio del sistema:</t>
        </is>
      </c>
      <c r="B35" s="7" t="inlineStr">
        <is>
          <t>Junio 2026</t>
        </is>
      </c>
    </row>
    <row r="36" ht="22" customHeight="1">
      <c r="A36" s="4" t="inlineStr">
        <is>
          <t>Moneda:</t>
        </is>
      </c>
      <c r="B36" s="5" t="inlineStr">
        <is>
          <t>Euro (€)</t>
        </is>
      </c>
    </row>
  </sheetData>
  <mergeCells count="10">
    <mergeCell ref="A26:H26"/>
    <mergeCell ref="A21:H21"/>
    <mergeCell ref="A29:H29"/>
    <mergeCell ref="A25:H25"/>
    <mergeCell ref="A24:H24"/>
    <mergeCell ref="A2:H2"/>
    <mergeCell ref="A1:H1"/>
    <mergeCell ref="A23:H23"/>
    <mergeCell ref="A27:H27"/>
    <mergeCell ref="A22:H22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25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🏦 DASHBOARD EJECUTIVO — SISTEMA FINANCIERO PERSONAL 2026</t>
        </is>
      </c>
    </row>
    <row r="2" ht="20" customHeight="1">
      <c r="A2" s="14" t="inlineStr">
        <is>
          <t>Sistema de control financiero integral | Inicio: Junio 2026 | Referencia: 2.000 €/mes</t>
        </is>
      </c>
    </row>
    <row r="4" ht="22" customHeight="1">
      <c r="A4" s="15" t="inlineStr">
        <is>
          <t>KPIs PRINCIPALES — JUNIO 2026</t>
        </is>
      </c>
    </row>
    <row r="5" ht="20" customHeight="1">
      <c r="A5" s="16" t="inlineStr">
        <is>
          <t>Ingresos del Mes</t>
        </is>
      </c>
      <c r="C5" s="17" t="inlineStr">
        <is>
          <t>Gastos Totales</t>
        </is>
      </c>
      <c r="E5" s="18" t="inlineStr">
        <is>
          <t>Flujo de Caja</t>
        </is>
      </c>
      <c r="G5" s="19" t="inlineStr">
        <is>
          <t>Ahorro Mensual</t>
        </is>
      </c>
      <c r="I5" s="19" t="inlineStr">
        <is>
          <t>Ahorro Acumulado</t>
        </is>
      </c>
      <c r="K5" s="20" t="inlineStr">
        <is>
          <t>Bankroll Capital</t>
        </is>
      </c>
    </row>
    <row r="6" ht="25" customHeight="1">
      <c r="A6" s="21">
        <f>'REGISTRO DE MOVIMIENTOS'!H3</f>
        <v/>
      </c>
      <c r="C6" s="22">
        <f>SUMIF('REGISTRO DE MOVIMIENTOS'!D3:D1000,"Gasto",'REGISTRO DE MOVIMIENTOS'!H3:H1000)</f>
        <v/>
      </c>
      <c r="E6" s="23">
        <f>'PRESUPUESTO MENSUAL'!D3-SUMIF('REGISTRO DE MOVIMIENTOS'!D3:D1000,"Gasto",'REGISTRO DE MOVIMIENTOS'!H3:H1000)</f>
        <v/>
      </c>
      <c r="G6" s="24">
        <f>'CONTROL DE AHORRO'!D3</f>
        <v/>
      </c>
      <c r="I6" s="24">
        <f>MAX('CONTROL DE AHORRO'!E3:E1000)</f>
        <v/>
      </c>
      <c r="K6" s="25">
        <f>MAX('CONTROL DE BANKROLL'!E3:E1000)</f>
        <v/>
      </c>
    </row>
    <row r="7" ht="15" customHeight="1"/>
    <row r="8" ht="20" customHeight="1">
      <c r="A8" s="20" t="inlineStr">
        <is>
          <t>Benef. Trading Mes</t>
        </is>
      </c>
      <c r="C8" s="20" t="inlineStr">
        <is>
          <t>Payouts Cobrados</t>
        </is>
      </c>
      <c r="E8" s="26" t="inlineStr">
        <is>
          <t>Patrimonio Neto</t>
        </is>
      </c>
      <c r="G8" s="18" t="inlineStr">
        <is>
          <t>ROI Trading %</t>
        </is>
      </c>
      <c r="I8" s="27" t="inlineStr">
        <is>
          <t>Score Financiero</t>
        </is>
      </c>
      <c r="K8" s="16" t="inlineStr">
        <is>
          <t>Libertad Financiera</t>
        </is>
      </c>
    </row>
    <row r="9" ht="25" customHeight="1">
      <c r="A9" s="25">
        <f>SUM('DASHBOARD DE TRADING'!C3:C1000)</f>
        <v/>
      </c>
      <c r="C9" s="25">
        <f>'CONTROL DE PAYOUTS'!B6</f>
        <v/>
      </c>
      <c r="E9" s="28">
        <f>'PATRIMONIO NETO'!B20</f>
        <v/>
      </c>
      <c r="G9" s="29">
        <f>IFERROR(SUM('DASHBOARD DE TRADING'!C3:C1000)/MAX('CONTROL DE BANKROLL'!E3:E1000),0)</f>
        <v/>
      </c>
      <c r="I9" s="30">
        <f>'SCORE DEL TRADER'!D10</f>
        <v/>
      </c>
      <c r="K9" s="31">
        <f>'LIBERTAD FINANCIERA'!B5</f>
        <v/>
      </c>
    </row>
    <row r="10" ht="15" customHeight="1"/>
    <row r="12" ht="22" customHeight="1">
      <c r="A12" s="15" t="inlineStr">
        <is>
          <t>SEMÁFOROS FINANCIEROS</t>
        </is>
      </c>
    </row>
    <row r="13">
      <c r="A13" s="32" t="inlineStr">
        <is>
          <t>Ahorro</t>
        </is>
      </c>
      <c r="D13" s="32" t="inlineStr">
        <is>
          <t>Gastos Fijos</t>
        </is>
      </c>
      <c r="G13" s="32" t="inlineStr">
        <is>
          <t>ROI Trading</t>
        </is>
      </c>
      <c r="J13" s="32" t="inlineStr">
        <is>
          <t>Flujo de Caja</t>
        </is>
      </c>
    </row>
    <row r="14">
      <c r="A14" s="33">
        <f>MAX('CONTROL DE AHORRO'!E3:E1000)</f>
        <v/>
      </c>
      <c r="D14" s="33">
        <f>SUMIF('REGISTRO DE MOVIMIENTOS'!E3:E1000,"Vivienda",'REGISTRO DE MOVIMIENTOS'!H3:H1000)+SUMIF('REGISTRO DE MOVIMIENTOS'!E3:E1000,"Transporte",'REGISTRO DE MOVIMIENTOS'!H3:H1000)</f>
        <v/>
      </c>
      <c r="G14" s="34">
        <f>IFERROR(SUM('DASHBOARD DE TRADING'!C3:C1000)/MAX('CONTROL DE BANKROLL'!E3:E1000),0)</f>
        <v/>
      </c>
      <c r="J14" s="33">
        <f>'PRESUPUESTO MENSUAL'!D3-SUMIF('REGISTRO DE MOVIMIENTOS'!D3:D1000,"Gasto",'REGISTRO DE MOVIMIENTOS'!H3:H1000)</f>
        <v/>
      </c>
    </row>
    <row r="16" ht="22" customHeight="1">
      <c r="A16" s="15" t="inlineStr">
        <is>
          <t>RESUMEN PRESUPUESTARIO MENSUAL</t>
        </is>
      </c>
    </row>
    <row r="17">
      <c r="A17" s="35" t="inlineStr">
        <is>
          <t>Concepto</t>
        </is>
      </c>
      <c r="C17" s="35" t="inlineStr">
        <is>
          <t>Importe</t>
        </is>
      </c>
      <c r="E17" s="35" t="inlineStr">
        <is>
          <t>% Ingreso</t>
        </is>
      </c>
    </row>
    <row r="18">
      <c r="A18" s="5" t="inlineStr">
        <is>
          <t>Ingreso Neto</t>
        </is>
      </c>
      <c r="C18" s="36">
        <f>'PRESUPUESTO MENSUAL'!$D$3</f>
        <v/>
      </c>
      <c r="E18" s="37">
        <f>C18/'PRESUPUESTO MENSUAL'!$D$3</f>
        <v/>
      </c>
    </row>
    <row r="19">
      <c r="A19" s="7" t="inlineStr">
        <is>
          <t>Gastos Fijos</t>
        </is>
      </c>
      <c r="C19" s="38" t="n">
        <v>1575</v>
      </c>
      <c r="E19" s="39">
        <f>C19/'PRESUPUESTO MENSUAL'!$D$3</f>
        <v/>
      </c>
    </row>
    <row r="20">
      <c r="A20" s="5" t="inlineStr">
        <is>
          <t>Bankroll (10%)</t>
        </is>
      </c>
      <c r="C20" s="36">
        <f>'PRESUPUESTO MENSUAL'!$D$3*0.1</f>
        <v/>
      </c>
      <c r="E20" s="37">
        <f>C20/'PRESUPUESTO MENSUAL'!$D$3</f>
        <v/>
      </c>
    </row>
    <row r="21">
      <c r="A21" s="7" t="inlineStr">
        <is>
          <t>Ahorro (10%)</t>
        </is>
      </c>
      <c r="C21" s="38">
        <f>'PRESUPUESTO MENSUAL'!$D$3*0.1</f>
        <v/>
      </c>
      <c r="E21" s="39">
        <f>C21/'PRESUPUESTO MENSUAL'!$D$3</f>
        <v/>
      </c>
    </row>
    <row r="22">
      <c r="A22" s="5" t="inlineStr">
        <is>
          <t>Caprichos (5%)</t>
        </is>
      </c>
      <c r="C22" s="36">
        <f>'PRESUPUESTO MENSUAL'!$D$3*0.05</f>
        <v/>
      </c>
      <c r="E22" s="37">
        <f>C22/'PRESUPUESTO MENSUAL'!$D$3</f>
        <v/>
      </c>
    </row>
    <row r="23">
      <c r="A23" s="6" t="inlineStr">
        <is>
          <t>Disponible</t>
        </is>
      </c>
      <c r="C23" s="40">
        <f>'PRESUPUESTO MENSUAL'!$D$3-1575-'PRESUPUESTO MENSUAL'!$D$3*0.25</f>
        <v/>
      </c>
      <c r="E23" s="41">
        <f>C23/'PRESUPUESTO MENSUAL'!$D$3</f>
        <v/>
      </c>
    </row>
    <row r="25" ht="20" customHeight="1">
      <c r="A25" s="42" t="inlineStr">
        <is>
          <t>ℹ️ NAVEGACIÓN: Usa las pestañas de abajo para acceder a cada sección del sistema financiero</t>
        </is>
      </c>
    </row>
  </sheetData>
  <mergeCells count="30">
    <mergeCell ref="A16:L16"/>
    <mergeCell ref="A25:L25"/>
    <mergeCell ref="E6:F7"/>
    <mergeCell ref="G6:H7"/>
    <mergeCell ref="C5:D5"/>
    <mergeCell ref="E5:F5"/>
    <mergeCell ref="K5:L5"/>
    <mergeCell ref="G8:H8"/>
    <mergeCell ref="E8:F8"/>
    <mergeCell ref="A12:L12"/>
    <mergeCell ref="A2:L2"/>
    <mergeCell ref="A9:B10"/>
    <mergeCell ref="G9:H10"/>
    <mergeCell ref="A4:L4"/>
    <mergeCell ref="I9:J10"/>
    <mergeCell ref="K9:L10"/>
    <mergeCell ref="C6:D7"/>
    <mergeCell ref="I6:J7"/>
    <mergeCell ref="K8:L8"/>
    <mergeCell ref="K6:L7"/>
    <mergeCell ref="A5:B5"/>
    <mergeCell ref="G5:H5"/>
    <mergeCell ref="I5:J5"/>
    <mergeCell ref="I8:J8"/>
    <mergeCell ref="A8:B8"/>
    <mergeCell ref="C8:D8"/>
    <mergeCell ref="A1:L1"/>
    <mergeCell ref="A6:B7"/>
    <mergeCell ref="C9:D10"/>
    <mergeCell ref="E9:F10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1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43" t="inlineStr">
        <is>
          <t>REGISTRO DE MOVIMIENTOS — SISTEMA FINANCIERO 2026</t>
        </is>
      </c>
    </row>
    <row r="2" ht="20" customHeight="1">
      <c r="A2" s="35" t="inlineStr">
        <is>
          <t>Fecha</t>
        </is>
      </c>
      <c r="B2" s="35" t="inlineStr">
        <is>
          <t>Mes</t>
        </is>
      </c>
      <c r="C2" s="35" t="inlineStr">
        <is>
          <t>Año</t>
        </is>
      </c>
      <c r="D2" s="35" t="inlineStr">
        <is>
          <t>Tipo</t>
        </is>
      </c>
      <c r="E2" s="35" t="inlineStr">
        <is>
          <t>Categoría</t>
        </is>
      </c>
      <c r="F2" s="35" t="inlineStr">
        <is>
          <t>Subcategoría</t>
        </is>
      </c>
      <c r="G2" s="35" t="inlineStr">
        <is>
          <t>Descripción</t>
        </is>
      </c>
      <c r="H2" s="35" t="inlineStr">
        <is>
          <t>Importe</t>
        </is>
      </c>
      <c r="I2" s="35" t="inlineStr">
        <is>
          <t>Método de Pago</t>
        </is>
      </c>
      <c r="J2" s="35" t="inlineStr">
        <is>
          <t>Comentarios</t>
        </is>
      </c>
    </row>
    <row r="3">
      <c r="A3" s="44" t="n">
        <v>46174</v>
      </c>
      <c r="B3" s="45" t="inlineStr">
        <is>
          <t>Junio</t>
        </is>
      </c>
      <c r="C3" s="45" t="n">
        <v>2026</v>
      </c>
      <c r="D3" s="45" t="inlineStr">
        <is>
          <t>Ingreso</t>
        </is>
      </c>
      <c r="E3" s="7" t="inlineStr">
        <is>
          <t>Nómina</t>
        </is>
      </c>
      <c r="F3" s="7" t="inlineStr">
        <is>
          <t>Salario neto</t>
        </is>
      </c>
      <c r="G3" s="7" t="inlineStr">
        <is>
          <t>Salario neto junio 2026</t>
        </is>
      </c>
      <c r="H3" s="38" t="n">
        <v>2000</v>
      </c>
      <c r="I3" s="45" t="inlineStr">
        <is>
          <t>Transferencia</t>
        </is>
      </c>
      <c r="J3" s="7" t="inlineStr">
        <is>
          <t>Ingreso mensual regular</t>
        </is>
      </c>
    </row>
    <row r="4">
      <c r="A4" s="46" t="n">
        <v>46174</v>
      </c>
      <c r="B4" s="47" t="inlineStr">
        <is>
          <t>Junio</t>
        </is>
      </c>
      <c r="C4" s="47" t="n">
        <v>2026</v>
      </c>
      <c r="D4" s="47" t="inlineStr">
        <is>
          <t>Gasto</t>
        </is>
      </c>
      <c r="E4" s="5" t="inlineStr">
        <is>
          <t>Vivienda</t>
        </is>
      </c>
      <c r="F4" s="5" t="inlineStr">
        <is>
          <t>Alquiler</t>
        </is>
      </c>
      <c r="G4" s="5" t="inlineStr">
        <is>
          <t>Piso alquiler junio</t>
        </is>
      </c>
      <c r="H4" s="36" t="n">
        <v>1000</v>
      </c>
      <c r="I4" s="47" t="inlineStr">
        <is>
          <t>Transferencia</t>
        </is>
      </c>
      <c r="J4" s="5" t="inlineStr">
        <is>
          <t>Gasto fijo</t>
        </is>
      </c>
    </row>
    <row r="5">
      <c r="A5" s="44" t="n">
        <v>46174</v>
      </c>
      <c r="B5" s="45" t="inlineStr">
        <is>
          <t>Junio</t>
        </is>
      </c>
      <c r="C5" s="45" t="n">
        <v>2026</v>
      </c>
      <c r="D5" s="45" t="inlineStr">
        <is>
          <t>Gasto</t>
        </is>
      </c>
      <c r="E5" s="7" t="inlineStr">
        <is>
          <t>Transporte</t>
        </is>
      </c>
      <c r="F5" s="7" t="inlineStr">
        <is>
          <t>Coche</t>
        </is>
      </c>
      <c r="G5" s="7" t="inlineStr">
        <is>
          <t>Cuota coche junio</t>
        </is>
      </c>
      <c r="H5" s="38" t="n">
        <v>450</v>
      </c>
      <c r="I5" s="45" t="inlineStr">
        <is>
          <t>Domiciliación</t>
        </is>
      </c>
      <c r="J5" s="7" t="inlineStr">
        <is>
          <t>Gasto fijo</t>
        </is>
      </c>
    </row>
    <row r="6">
      <c r="A6" s="46" t="n">
        <v>46174</v>
      </c>
      <c r="B6" s="47" t="inlineStr">
        <is>
          <t>Junio</t>
        </is>
      </c>
      <c r="C6" s="47" t="n">
        <v>2026</v>
      </c>
      <c r="D6" s="47" t="inlineStr">
        <is>
          <t>Gasto</t>
        </is>
      </c>
      <c r="E6" s="5" t="inlineStr">
        <is>
          <t>Salud/Deporte</t>
        </is>
      </c>
      <c r="F6" s="5" t="inlineStr">
        <is>
          <t>Gimnasio</t>
        </is>
      </c>
      <c r="G6" s="5" t="inlineStr">
        <is>
          <t>Cuota gimnasio junio</t>
        </is>
      </c>
      <c r="H6" s="36" t="n">
        <v>25</v>
      </c>
      <c r="I6" s="47" t="inlineStr">
        <is>
          <t>Domiciliación</t>
        </is>
      </c>
      <c r="J6" s="5" t="inlineStr">
        <is>
          <t>Gasto fijo</t>
        </is>
      </c>
    </row>
    <row r="7">
      <c r="A7" s="44" t="n">
        <v>46174</v>
      </c>
      <c r="B7" s="45" t="inlineStr">
        <is>
          <t>Junio</t>
        </is>
      </c>
      <c r="C7" s="45" t="n">
        <v>2026</v>
      </c>
      <c r="D7" s="45" t="inlineStr">
        <is>
          <t>Gasto</t>
        </is>
      </c>
      <c r="E7" s="7" t="inlineStr">
        <is>
          <t>Formación</t>
        </is>
      </c>
      <c r="F7" s="7" t="inlineStr">
        <is>
          <t>TraderLab</t>
        </is>
      </c>
      <c r="G7" s="7" t="inlineStr">
        <is>
          <t>Suscripción TraderLab junio</t>
        </is>
      </c>
      <c r="H7" s="38" t="n">
        <v>100</v>
      </c>
      <c r="I7" s="45" t="inlineStr">
        <is>
          <t>Tarjeta</t>
        </is>
      </c>
      <c r="J7" s="7" t="inlineStr">
        <is>
          <t>Gasto fijo</t>
        </is>
      </c>
    </row>
    <row r="8">
      <c r="A8" s="46" t="n">
        <v>46178</v>
      </c>
      <c r="B8" s="47" t="inlineStr">
        <is>
          <t>Junio</t>
        </is>
      </c>
      <c r="C8" s="47" t="n">
        <v>2026</v>
      </c>
      <c r="D8" s="47" t="inlineStr">
        <is>
          <t>Gasto</t>
        </is>
      </c>
      <c r="E8" s="5" t="inlineStr">
        <is>
          <t>Alimentación</t>
        </is>
      </c>
      <c r="F8" s="5" t="inlineStr">
        <is>
          <t>Supermercado</t>
        </is>
      </c>
      <c r="G8" s="5" t="inlineStr">
        <is>
          <t>Compra semanal Mercadona</t>
        </is>
      </c>
      <c r="H8" s="36" t="n">
        <v>85.5</v>
      </c>
      <c r="I8" s="47" t="inlineStr">
        <is>
          <t>Tarjeta</t>
        </is>
      </c>
      <c r="J8" s="5" t="inlineStr"/>
    </row>
    <row r="9">
      <c r="A9" s="44" t="n">
        <v>46183</v>
      </c>
      <c r="B9" s="45" t="inlineStr">
        <is>
          <t>Junio</t>
        </is>
      </c>
      <c r="C9" s="45" t="n">
        <v>2026</v>
      </c>
      <c r="D9" s="45" t="inlineStr">
        <is>
          <t>Gasto</t>
        </is>
      </c>
      <c r="E9" s="7" t="inlineStr">
        <is>
          <t>Restaurantes</t>
        </is>
      </c>
      <c r="F9" s="7" t="inlineStr">
        <is>
          <t>Comida fuera</t>
        </is>
      </c>
      <c r="G9" s="7" t="inlineStr">
        <is>
          <t>Restaurante con familia</t>
        </is>
      </c>
      <c r="H9" s="38" t="n">
        <v>35</v>
      </c>
      <c r="I9" s="45" t="inlineStr">
        <is>
          <t>Tarjeta</t>
        </is>
      </c>
      <c r="J9" s="7" t="inlineStr">
        <is>
          <t>Gasto capricho</t>
        </is>
      </c>
    </row>
    <row r="10">
      <c r="A10" s="46" t="n">
        <v>46188</v>
      </c>
      <c r="B10" s="47" t="inlineStr">
        <is>
          <t>Junio</t>
        </is>
      </c>
      <c r="C10" s="47" t="n">
        <v>2026</v>
      </c>
      <c r="D10" s="47" t="inlineStr">
        <is>
          <t>Ingreso</t>
        </is>
      </c>
      <c r="E10" s="5" t="inlineStr">
        <is>
          <t>Trading</t>
        </is>
      </c>
      <c r="F10" s="5" t="inlineStr">
        <is>
          <t>Payout</t>
        </is>
      </c>
      <c r="G10" s="5" t="inlineStr">
        <is>
          <t>Payout FTMO junio</t>
        </is>
      </c>
      <c r="H10" s="36" t="n">
        <v>350</v>
      </c>
      <c r="I10" s="47" t="inlineStr">
        <is>
          <t>Transferencia</t>
        </is>
      </c>
      <c r="J10" s="5" t="inlineStr">
        <is>
          <t>Beneficios trading</t>
        </is>
      </c>
    </row>
    <row r="11">
      <c r="A11" s="44" t="n">
        <v>46193</v>
      </c>
      <c r="B11" s="45" t="inlineStr">
        <is>
          <t>Junio</t>
        </is>
      </c>
      <c r="C11" s="45" t="n">
        <v>2026</v>
      </c>
      <c r="D11" s="45" t="inlineStr">
        <is>
          <t>Gasto</t>
        </is>
      </c>
      <c r="E11" s="7" t="inlineStr">
        <is>
          <t>Ahorro</t>
        </is>
      </c>
      <c r="F11" s="7" t="inlineStr">
        <is>
          <t>Ahorro mensual</t>
        </is>
      </c>
      <c r="G11" s="7" t="inlineStr">
        <is>
          <t>Aportación ahorro junio</t>
        </is>
      </c>
      <c r="H11" s="38" t="n">
        <v>200</v>
      </c>
      <c r="I11" s="45" t="inlineStr">
        <is>
          <t>Transferencia</t>
        </is>
      </c>
      <c r="J11" s="7" t="inlineStr">
        <is>
          <t>10% ingreso mensual</t>
        </is>
      </c>
    </row>
    <row r="12">
      <c r="A12" s="46" t="n">
        <v>46193</v>
      </c>
      <c r="B12" s="47" t="inlineStr">
        <is>
          <t>Junio</t>
        </is>
      </c>
      <c r="C12" s="47" t="n">
        <v>2026</v>
      </c>
      <c r="D12" s="47" t="inlineStr">
        <is>
          <t>Gasto</t>
        </is>
      </c>
      <c r="E12" s="5" t="inlineStr">
        <is>
          <t>Inversión</t>
        </is>
      </c>
      <c r="F12" s="5" t="inlineStr">
        <is>
          <t>Bankroll</t>
        </is>
      </c>
      <c r="G12" s="5" t="inlineStr">
        <is>
          <t>Aportación bankroll junio</t>
        </is>
      </c>
      <c r="H12" s="36" t="n">
        <v>200</v>
      </c>
      <c r="I12" s="47" t="inlineStr">
        <is>
          <t>Transferencia</t>
        </is>
      </c>
      <c r="J12" s="5" t="inlineStr">
        <is>
          <t>10% ingreso mensual</t>
        </is>
      </c>
    </row>
  </sheetData>
  <mergeCells count="1">
    <mergeCell ref="A1:J1"/>
  </mergeCells>
  <dataValidations count="3">
    <dataValidation sqref="D3:D1000" showDropDown="0" showInputMessage="0" showErrorMessage="0" allowBlank="0" errorTitle="Valor no válido" error="Selecciona Ingreso o Gasto" type="list">
      <formula1>"Ingreso,Gasto"</formula1>
    </dataValidation>
    <dataValidation sqref="E3:E1000" showDropDown="0" showInputMessage="0" showErrorMessage="0" allowBlank="1" type="list">
      <formula1>"Nómina,Vivienda,Transporte,Salud/Deporte,Formación,Alimentación,Restaurantes,Trading,Ahorro,Inversión,Ocio,Suscripciones,Amazon,Compras,Otros"</formula1>
    </dataValidation>
    <dataValidation sqref="I3:I1000" showDropDown="0" showInputMessage="0" showErrorMessage="0" allowBlank="1" type="list">
      <formula1>"Efectivo,Tarjeta,Transferencia,Domiciliación,Bizum"</formula1>
    </dataValidation>
  </dataValidations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43" t="inlineStr">
        <is>
          <t>PRESUPUESTO MENSUAL — JUNIO 2026</t>
        </is>
      </c>
    </row>
    <row r="3" ht="25" customHeight="1">
      <c r="A3" s="48" t="inlineStr">
        <is>
          <t>INGRESO NETO MENSUAL (edita esta celda):</t>
        </is>
      </c>
      <c r="D3" s="49" t="n">
        <v>2000</v>
      </c>
    </row>
    <row r="5">
      <c r="A5" s="50" t="inlineStr">
        <is>
          <t>GASTOS FIJOS MENSUALES</t>
        </is>
      </c>
    </row>
    <row r="6">
      <c r="A6" s="32" t="inlineStr">
        <is>
          <t>Concepto</t>
        </is>
      </c>
      <c r="B6" s="32" t="inlineStr">
        <is>
          <t>Categoría</t>
        </is>
      </c>
      <c r="C6" s="32" t="inlineStr">
        <is>
          <t>Importe</t>
        </is>
      </c>
      <c r="D6" s="32" t="inlineStr">
        <is>
          <t>% Ingreso</t>
        </is>
      </c>
      <c r="E6" s="32" t="inlineStr">
        <is>
          <t>Estado</t>
        </is>
      </c>
    </row>
    <row r="7">
      <c r="A7" s="5" t="inlineStr">
        <is>
          <t>Piso</t>
        </is>
      </c>
      <c r="B7" s="5" t="inlineStr">
        <is>
          <t>Vivienda</t>
        </is>
      </c>
      <c r="C7" s="36" t="n">
        <v>1000</v>
      </c>
      <c r="D7" s="37">
        <f>C7/$D$3</f>
        <v/>
      </c>
      <c r="E7" s="51" t="inlineStr">
        <is>
          <t>Fijo</t>
        </is>
      </c>
    </row>
    <row r="8">
      <c r="A8" s="7" t="inlineStr">
        <is>
          <t>Coche</t>
        </is>
      </c>
      <c r="B8" s="7" t="inlineStr">
        <is>
          <t>Transporte</t>
        </is>
      </c>
      <c r="C8" s="38" t="n">
        <v>450</v>
      </c>
      <c r="D8" s="39">
        <f>C8/$D$3</f>
        <v/>
      </c>
      <c r="E8" s="52" t="inlineStr">
        <is>
          <t>Fijo</t>
        </is>
      </c>
    </row>
    <row r="9">
      <c r="A9" s="5" t="inlineStr">
        <is>
          <t>Gimnasio</t>
        </is>
      </c>
      <c r="B9" s="5" t="inlineStr">
        <is>
          <t>Salud/Deporte</t>
        </is>
      </c>
      <c r="C9" s="36" t="n">
        <v>25</v>
      </c>
      <c r="D9" s="37">
        <f>C9/$D$3</f>
        <v/>
      </c>
      <c r="E9" s="51" t="inlineStr">
        <is>
          <t>Fijo</t>
        </is>
      </c>
    </row>
    <row r="10">
      <c r="A10" s="7" t="inlineStr">
        <is>
          <t>TraderLab</t>
        </is>
      </c>
      <c r="B10" s="7" t="inlineStr">
        <is>
          <t>Formación</t>
        </is>
      </c>
      <c r="C10" s="38" t="n">
        <v>100</v>
      </c>
      <c r="D10" s="39">
        <f>C10/$D$3</f>
        <v/>
      </c>
      <c r="E10" s="52" t="inlineStr">
        <is>
          <t>Fijo</t>
        </is>
      </c>
    </row>
    <row r="11">
      <c r="A11" s="13" t="inlineStr">
        <is>
          <t>TOTAL GASTOS FIJOS</t>
        </is>
      </c>
      <c r="B11" s="53" t="inlineStr"/>
      <c r="C11" s="54">
        <f>SUM(C7:C10)</f>
        <v/>
      </c>
      <c r="D11" s="55">
        <f>C11/$D$3</f>
        <v/>
      </c>
    </row>
    <row r="13">
      <c r="A13" s="50" t="inlineStr">
        <is>
          <t>DISTRIBUCIÓN AUTOMÁTICA (% INGRESO)</t>
        </is>
      </c>
    </row>
    <row r="14">
      <c r="A14" s="32" t="inlineStr">
        <is>
          <t>Concepto</t>
        </is>
      </c>
      <c r="B14" s="32" t="inlineStr">
        <is>
          <t>% Aplicado</t>
        </is>
      </c>
      <c r="C14" s="32" t="inlineStr">
        <is>
          <t>Importe</t>
        </is>
      </c>
      <c r="D14" s="32" t="inlineStr">
        <is>
          <t>Objetivo anual</t>
        </is>
      </c>
      <c r="E14" s="32" t="inlineStr">
        <is>
          <t>Descripción</t>
        </is>
      </c>
    </row>
    <row r="15">
      <c r="A15" s="56" t="inlineStr">
        <is>
          <t>Bankroll</t>
        </is>
      </c>
      <c r="B15" s="57" t="n">
        <v>0.1</v>
      </c>
      <c r="C15" s="36">
        <f>$D$3*B15</f>
        <v/>
      </c>
      <c r="D15" s="36">
        <f>$D$3*B15*12</f>
        <v/>
      </c>
      <c r="E15" s="5" t="inlineStr">
        <is>
          <t>10% para capital de trading</t>
        </is>
      </c>
    </row>
    <row r="16">
      <c r="A16" s="58" t="inlineStr">
        <is>
          <t>Ahorro</t>
        </is>
      </c>
      <c r="B16" s="59" t="n">
        <v>0.1</v>
      </c>
      <c r="C16" s="38">
        <f>$D$3*B16</f>
        <v/>
      </c>
      <c r="D16" s="38">
        <f>$D$3*B16*12</f>
        <v/>
      </c>
      <c r="E16" s="7" t="inlineStr">
        <is>
          <t>10% para fondo de ahorro</t>
        </is>
      </c>
    </row>
    <row r="17">
      <c r="A17" s="56" t="inlineStr">
        <is>
          <t>Caprichos</t>
        </is>
      </c>
      <c r="B17" s="57" t="n">
        <v>0.05</v>
      </c>
      <c r="C17" s="36">
        <f>$D$3*B17</f>
        <v/>
      </c>
      <c r="D17" s="36">
        <f>$D$3*B17*12</f>
        <v/>
      </c>
      <c r="E17" s="5" t="inlineStr">
        <is>
          <t>5% para gastos personales</t>
        </is>
      </c>
    </row>
    <row r="19">
      <c r="A19" s="50" t="inlineStr">
        <is>
          <t>RESUMEN Y DISPONIBLE</t>
        </is>
      </c>
    </row>
    <row r="20">
      <c r="A20" s="32" t="inlineStr">
        <is>
          <t>Concepto</t>
        </is>
      </c>
      <c r="C20" s="32" t="inlineStr">
        <is>
          <t>Importe</t>
        </is>
      </c>
    </row>
    <row r="21">
      <c r="A21" s="5" t="inlineStr">
        <is>
          <t>Ingreso neto mensual</t>
        </is>
      </c>
      <c r="C21" s="36">
        <f>$D$3</f>
        <v/>
      </c>
    </row>
    <row r="22">
      <c r="A22" s="7" t="inlineStr">
        <is>
          <t>(-) Total gastos fijos</t>
        </is>
      </c>
      <c r="C22" s="38">
        <f>-C11</f>
        <v/>
      </c>
    </row>
    <row r="23">
      <c r="A23" s="5" t="inlineStr">
        <is>
          <t>(-) Bankroll (10%)</t>
        </is>
      </c>
      <c r="C23" s="36">
        <f>-C15</f>
        <v/>
      </c>
    </row>
    <row r="24">
      <c r="A24" s="7" t="inlineStr">
        <is>
          <t>(-) Ahorro (10%)</t>
        </is>
      </c>
      <c r="C24" s="38">
        <f>-C16</f>
        <v/>
      </c>
    </row>
    <row r="25">
      <c r="A25" s="5" t="inlineStr">
        <is>
          <t>(-) Caprichos (5%)</t>
        </is>
      </c>
      <c r="C25" s="36">
        <f>-C17</f>
        <v/>
      </c>
    </row>
    <row r="26">
      <c r="A26" s="13" t="inlineStr">
        <is>
          <t>DISPONIBLE RESTANTE</t>
        </is>
      </c>
      <c r="C26" s="60">
        <f>SUM(C21:C25)</f>
        <v/>
      </c>
    </row>
    <row r="27">
      <c r="A27" s="13" t="inlineStr">
        <is>
          <t>% Gastado (fijos/ingreso)</t>
        </is>
      </c>
      <c r="C27" s="61">
        <f>C11/$D$3</f>
        <v/>
      </c>
    </row>
    <row r="28">
      <c r="A28" s="13" t="inlineStr">
        <is>
          <t>Desviación vs presupuesto</t>
        </is>
      </c>
      <c r="C28" s="60">
        <f>$D$3-C11</f>
        <v/>
      </c>
    </row>
    <row r="30">
      <c r="A30" s="50" t="inlineStr">
        <is>
          <t>BARRA DE PROGRESO PRESUPUESTO</t>
        </is>
      </c>
    </row>
    <row r="31">
      <c r="A31" s="56" t="inlineStr">
        <is>
          <t>Progreso gastos fijos:</t>
        </is>
      </c>
      <c r="B31" s="62">
        <f>REPT("█",ROUND(C27*10,0))&amp;REPT("░",10-ROUND(C27*10,0))&amp;" "&amp;TEXT(C27,"0%")</f>
        <v/>
      </c>
    </row>
  </sheetData>
  <mergeCells count="6">
    <mergeCell ref="A13:F13"/>
    <mergeCell ref="A19:F19"/>
    <mergeCell ref="A1:F1"/>
    <mergeCell ref="A5:F5"/>
    <mergeCell ref="A3:C3"/>
    <mergeCell ref="A30:F30"/>
  </mergeCells>
  <conditionalFormatting sqref="C27">
    <cfRule type="cellIs" priority="1" operator="greaterThan" dxfId="0">
      <formula>1</formula>
    </cfRule>
    <cfRule type="cellIs" priority="2" operator="between" dxfId="1">
      <formula>0.9</formula>
      <formula>1</formula>
    </cfRule>
    <cfRule type="cellIs" priority="3" operator="lessThanOrEqual" dxfId="2">
      <formula>0.9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1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43" t="inlineStr">
        <is>
          <t>CONTROL DE AHORRO — EVOLUCIÓN ACUMULADA</t>
        </is>
      </c>
    </row>
    <row r="2">
      <c r="A2" s="35" t="inlineStr">
        <is>
          <t>Fecha</t>
        </is>
      </c>
      <c r="B2" s="35" t="inlineStr">
        <is>
          <t>Mes</t>
        </is>
      </c>
      <c r="C2" s="35" t="inlineStr">
        <is>
          <t>Año</t>
        </is>
      </c>
      <c r="D2" s="35" t="inlineStr">
        <is>
          <t>Cantidad (€)</t>
        </is>
      </c>
      <c r="E2" s="35" t="inlineStr">
        <is>
          <t>Acumulado (€)</t>
        </is>
      </c>
      <c r="F2" s="35" t="inlineStr">
        <is>
          <t>Tasa Ahorro %</t>
        </is>
      </c>
    </row>
    <row r="3">
      <c r="A3" s="44" t="n">
        <v>46193</v>
      </c>
      <c r="B3" s="45" t="inlineStr">
        <is>
          <t>Junio</t>
        </is>
      </c>
      <c r="C3" s="45" t="n">
        <v>2026</v>
      </c>
      <c r="D3" s="38" t="n">
        <v>200</v>
      </c>
      <c r="E3" s="38" t="n">
        <v>2000</v>
      </c>
      <c r="F3" s="39">
        <f>D3/200*0.10</f>
        <v/>
      </c>
    </row>
    <row r="6">
      <c r="A6" s="50" t="inlineStr">
        <is>
          <t>RESUMEN ANUAL 2026</t>
        </is>
      </c>
    </row>
    <row r="7">
      <c r="A7" s="4" t="inlineStr">
        <is>
          <t>Total ahorrado año 2026</t>
        </is>
      </c>
      <c r="B7" s="36">
        <f>SUMIF(C3:C1000,2026,D3:D1000)</f>
        <v/>
      </c>
    </row>
    <row r="8">
      <c r="A8" s="6" t="inlineStr">
        <is>
          <t>Ahorro mensual medio</t>
        </is>
      </c>
      <c r="B8" s="38">
        <f>IFERROR(AVERAGEIF(C3:C1000,2026,D3:D1000),0)</f>
        <v/>
      </c>
    </row>
    <row r="9">
      <c r="A9" s="4" t="inlineStr">
        <is>
          <t>Capital acumulado total</t>
        </is>
      </c>
      <c r="B9" s="36">
        <f>MAX(E3:E1000)</f>
        <v/>
      </c>
    </row>
    <row r="10">
      <c r="A10" s="6" t="inlineStr">
        <is>
          <t>Objetivo anual (10% x 12)</t>
        </is>
      </c>
      <c r="B10" s="38" t="n">
        <v>2400</v>
      </c>
    </row>
    <row r="11">
      <c r="A11" s="4" t="inlineStr">
        <is>
          <t>% Cumplimiento</t>
        </is>
      </c>
      <c r="B11" s="37">
        <f>IFERROR(B9/B10,0)</f>
        <v/>
      </c>
    </row>
  </sheetData>
  <mergeCells count="2">
    <mergeCell ref="A6:F6"/>
    <mergeCell ref="A1:F1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8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5" customWidth="1" min="4" max="4"/>
    <col width="18" customWidth="1" min="5" max="5"/>
  </cols>
  <sheetData>
    <row r="1" ht="30" customHeight="1">
      <c r="A1" s="43" t="inlineStr">
        <is>
          <t>CONTROL DE BANKROLL — CAPITAL DE TRADING</t>
        </is>
      </c>
    </row>
    <row r="2">
      <c r="A2" s="35" t="inlineStr">
        <is>
          <t>Fecha</t>
        </is>
      </c>
      <c r="B2" s="35" t="inlineStr">
        <is>
          <t>Mes</t>
        </is>
      </c>
      <c r="C2" s="35" t="inlineStr">
        <is>
          <t>Año</t>
        </is>
      </c>
      <c r="D2" s="35" t="inlineStr">
        <is>
          <t>Aporte (€)</t>
        </is>
      </c>
      <c r="E2" s="35" t="inlineStr">
        <is>
          <t>Capital Acumulado (€)</t>
        </is>
      </c>
    </row>
    <row r="3">
      <c r="A3" s="46" t="n">
        <v>46193</v>
      </c>
      <c r="B3" s="47" t="inlineStr">
        <is>
          <t>Junio</t>
        </is>
      </c>
      <c r="C3" s="47" t="n">
        <v>2026</v>
      </c>
      <c r="D3" s="36" t="n">
        <v>200</v>
      </c>
      <c r="E3" s="36" t="n">
        <v>200</v>
      </c>
    </row>
    <row r="5">
      <c r="A5" s="6" t="inlineStr">
        <is>
          <t>Total bankroll aportado 2026</t>
        </is>
      </c>
      <c r="B5" s="38">
        <f>SUMIF(C3:C1000,2026,D3:D1000)</f>
        <v/>
      </c>
    </row>
    <row r="6">
      <c r="A6" s="4" t="inlineStr">
        <is>
          <t>Capital acumulado total</t>
        </is>
      </c>
      <c r="B6" s="36">
        <f>MAX(E3:E1000)</f>
        <v/>
      </c>
    </row>
    <row r="7">
      <c r="A7" s="6" t="inlineStr">
        <is>
          <t>Objetivo anual</t>
        </is>
      </c>
      <c r="B7" s="38" t="n">
        <v>2400</v>
      </c>
    </row>
    <row r="8">
      <c r="A8" s="4" t="inlineStr">
        <is>
          <t>% Cumplimiento</t>
        </is>
      </c>
      <c r="B8" s="37">
        <f>IFERROR(B6/B7,0)</f>
        <v/>
      </c>
    </row>
  </sheetData>
  <mergeCells count="1">
    <mergeCell ref="A1:E1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13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0" customWidth="1" min="3" max="3"/>
    <col width="20" customWidth="1" min="4" max="4"/>
    <col width="35" customWidth="1" min="5" max="5"/>
  </cols>
  <sheetData>
    <row r="1" ht="30" customHeight="1">
      <c r="A1" s="43" t="inlineStr">
        <is>
          <t>DASHBOARD DE TRADING — RESULTADOS Y ANÁLISIS</t>
        </is>
      </c>
    </row>
    <row r="2">
      <c r="A2" s="35" t="inlineStr">
        <is>
          <t>Fecha</t>
        </is>
      </c>
      <c r="B2" s="35" t="inlineStr">
        <is>
          <t>Cuenta / Plataforma</t>
        </is>
      </c>
      <c r="C2" s="35" t="inlineStr">
        <is>
          <t>Beneficio/Pérdida (€)</t>
        </is>
      </c>
      <c r="D2" s="35" t="inlineStr">
        <is>
          <t>Payout Recibido (€)</t>
        </is>
      </c>
      <c r="E2" s="35" t="inlineStr">
        <is>
          <t>Observaciones</t>
        </is>
      </c>
    </row>
    <row r="3">
      <c r="A3" s="46" t="n">
        <v>46188</v>
      </c>
      <c r="B3" s="47" t="inlineStr">
        <is>
          <t>FTMO</t>
        </is>
      </c>
      <c r="C3" s="36" t="n">
        <v>350</v>
      </c>
      <c r="D3" s="36" t="n">
        <v>350</v>
      </c>
      <c r="E3" s="5" t="inlineStr">
        <is>
          <t>Cuenta 10K - challenge superado</t>
        </is>
      </c>
    </row>
    <row r="5">
      <c r="A5" s="50" t="inlineStr">
        <is>
          <t>ESTADÍSTICAS DE TRADING</t>
        </is>
      </c>
    </row>
    <row r="6">
      <c r="A6" s="4" t="inlineStr">
        <is>
          <t>Beneficio mensual (Jun 2026)</t>
        </is>
      </c>
      <c r="B6" s="36">
        <f>SUMPRODUCT((ISNUMBER(A3:A1000))*(MONTH(IF(ISNUMBER(A3:A1000),A3:A1000,1))=6)*(YEAR(IF(ISNUMBER(A3:A1000),A3:A1000,1))=2026)*(C3:C1000))</f>
        <v/>
      </c>
    </row>
    <row r="7">
      <c r="A7" s="6" t="inlineStr">
        <is>
          <t>Beneficio anual 2026</t>
        </is>
      </c>
      <c r="B7" s="38">
        <f>SUMPRODUCT((ISNUMBER(A3:A1000))*(YEAR(IF(ISNUMBER(A3:A1000),A3:A1000,1))=2026)*(C3:C1000))</f>
        <v/>
      </c>
    </row>
    <row r="8">
      <c r="A8" s="4" t="inlineStr">
        <is>
          <t>Total payouts recibidos</t>
        </is>
      </c>
      <c r="B8" s="36">
        <f>SUM(D3:D1000)</f>
        <v/>
      </c>
    </row>
    <row r="9">
      <c r="A9" s="6" t="inlineStr">
        <is>
          <t>ROI % (sobre bankroll 2.000€)</t>
        </is>
      </c>
      <c r="B9" s="39">
        <f>IFERROR(SUM(C3:C1000)/2000,0)</f>
        <v/>
      </c>
    </row>
    <row r="10">
      <c r="A10" s="4" t="inlineStr">
        <is>
          <t>Mejor mes (max beneficio)</t>
        </is>
      </c>
      <c r="B10" s="36">
        <f>IFERROR(MAX(C3:C1000),0)</f>
        <v/>
      </c>
    </row>
    <row r="11">
      <c r="A11" s="6" t="inlineStr">
        <is>
          <t>Peor mes (max pérdida)</t>
        </is>
      </c>
      <c r="B11" s="38">
        <f>IFERROR(MIN(C3:C1000),0)</f>
        <v/>
      </c>
    </row>
    <row r="12">
      <c r="A12" s="4" t="inlineStr">
        <is>
          <t>Beneficio acumulado total</t>
        </is>
      </c>
      <c r="B12" s="36">
        <f>SUM(C3:C1000)</f>
        <v/>
      </c>
    </row>
    <row r="13">
      <c r="A13" s="6" t="inlineStr">
        <is>
          <t>Número de operaciones</t>
        </is>
      </c>
      <c r="B13" s="38">
        <f>COUNTA(B3:B1000)</f>
        <v/>
      </c>
    </row>
  </sheetData>
  <mergeCells count="2">
    <mergeCell ref="A1:E1"/>
    <mergeCell ref="A5:E5"/>
  </mergeCells>
  <conditionalFormatting sqref="C3:C1000">
    <cfRule type="cellIs" priority="1" operator="greaterThan" dxfId="3">
      <formula>0</formula>
    </cfRule>
    <cfRule type="cellIs" priority="2" operator="lessThan" dxfId="4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43" t="inlineStr">
        <is>
          <t>CONTROL DE PAYOUTS — INGRESOS DE TRADING</t>
        </is>
      </c>
    </row>
    <row r="2">
      <c r="A2" s="35" t="inlineStr">
        <is>
          <t>Fecha</t>
        </is>
      </c>
      <c r="B2" s="35" t="inlineStr">
        <is>
          <t>Empresa / Plataforma</t>
        </is>
      </c>
      <c r="C2" s="35" t="inlineStr">
        <is>
          <t>Importe (€)</t>
        </is>
      </c>
      <c r="D2" s="35" t="inlineStr">
        <is>
          <t>Estado</t>
        </is>
      </c>
      <c r="E2" s="35" t="inlineStr">
        <is>
          <t>Observaciones</t>
        </is>
      </c>
    </row>
    <row r="3">
      <c r="A3" s="44" t="n">
        <v>46188</v>
      </c>
      <c r="B3" s="45" t="inlineStr">
        <is>
          <t>FTMO</t>
        </is>
      </c>
      <c r="C3" s="38" t="n">
        <v>350</v>
      </c>
      <c r="D3" s="45" t="inlineStr">
        <is>
          <t>Cobrado</t>
        </is>
      </c>
      <c r="E3" s="7" t="inlineStr">
        <is>
          <t>Payout junio 2026</t>
        </is>
      </c>
    </row>
    <row r="4">
      <c r="A4" s="46" t="n">
        <v>46204</v>
      </c>
      <c r="B4" s="47" t="inlineStr">
        <is>
          <t>FTMO</t>
        </is>
      </c>
      <c r="C4" s="36" t="n">
        <v>400</v>
      </c>
      <c r="D4" s="47" t="inlineStr">
        <is>
          <t>Pendiente</t>
        </is>
      </c>
      <c r="E4" s="5" t="inlineStr">
        <is>
          <t>Payout julio 2026 - estimado</t>
        </is>
      </c>
    </row>
    <row r="6">
      <c r="A6" s="4" t="inlineStr">
        <is>
          <t>Total cobrado</t>
        </is>
      </c>
      <c r="B6" s="36">
        <f>SUMIF(D3:D1000,"Cobrado",C3:C1000)</f>
        <v/>
      </c>
    </row>
    <row r="7">
      <c r="A7" s="6" t="inlineStr">
        <is>
          <t>Total pendiente</t>
        </is>
      </c>
      <c r="B7" s="38">
        <f>SUMIF(D3:D1000,"Pendiente",C3:C1000)</f>
        <v/>
      </c>
    </row>
    <row r="8">
      <c r="A8" s="4" t="inlineStr">
        <is>
          <t>Total anual 2026</t>
        </is>
      </c>
      <c r="B8" s="36">
        <f>SUMPRODUCT((ISNUMBER(A3:A1000))*(YEAR(IF(ISNUMBER(A3:A1000),A3:A1000,1))=2026)*(C3:C1000))</f>
        <v/>
      </c>
    </row>
    <row r="9">
      <c r="A9" s="6" t="inlineStr">
        <is>
          <t>Total histórico</t>
        </is>
      </c>
      <c r="B9" s="38">
        <f>SUM(C3:C1000)</f>
        <v/>
      </c>
    </row>
  </sheetData>
  <mergeCells count="1">
    <mergeCell ref="A1:E1"/>
  </mergeCells>
  <conditionalFormatting sqref="D3:D1000">
    <cfRule type="expression" priority="1" dxfId="3">
      <formula>D3="Cobrado"</formula>
    </cfRule>
    <cfRule type="expression" priority="2" dxfId="5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2" customWidth="1" min="4" max="4"/>
  </cols>
  <sheetData>
    <row r="1" ht="30" customHeight="1">
      <c r="A1" s="43" t="inlineStr">
        <is>
          <t>PATRIMONIO NETO — ACTIVOS Y PASIVOS</t>
        </is>
      </c>
    </row>
    <row r="3">
      <c r="A3" s="63" t="inlineStr">
        <is>
          <t>ACTIVOS</t>
        </is>
      </c>
    </row>
    <row r="4">
      <c r="A4" s="32" t="inlineStr">
        <is>
          <t>Concepto</t>
        </is>
      </c>
      <c r="B4" s="32" t="inlineStr">
        <is>
          <t>Valor Actual (€)</t>
        </is>
      </c>
      <c r="C4" s="32" t="inlineStr">
        <is>
          <t>Notas</t>
        </is>
      </c>
    </row>
    <row r="5">
      <c r="A5" s="5" t="inlineStr">
        <is>
          <t>Cuenta Bancaria Corriente</t>
        </is>
      </c>
      <c r="B5" s="36" t="n">
        <v>500</v>
      </c>
      <c r="C5" s="5" t="inlineStr">
        <is>
          <t>Saldo en cuenta corriente</t>
        </is>
      </c>
    </row>
    <row r="6">
      <c r="A6" s="7" t="inlineStr">
        <is>
          <t>Fondo de Ahorro</t>
        </is>
      </c>
      <c r="B6" s="38" t="n">
        <v>2000</v>
      </c>
      <c r="C6" s="7" t="inlineStr">
        <is>
          <t>Ahorro acumulado</t>
        </is>
      </c>
    </row>
    <row r="7">
      <c r="A7" s="5" t="inlineStr">
        <is>
          <t>Bankroll Trading</t>
        </is>
      </c>
      <c r="B7" s="36" t="n">
        <v>200</v>
      </c>
      <c r="C7" s="5" t="inlineStr">
        <is>
          <t>Capital para trading</t>
        </is>
      </c>
    </row>
    <row r="8">
      <c r="A8" s="7" t="inlineStr">
        <is>
          <t>Capital en Plataformas Trading</t>
        </is>
      </c>
      <c r="B8" s="38" t="n">
        <v>0</v>
      </c>
      <c r="C8" s="7" t="inlineStr">
        <is>
          <t>Fondos en brokers/prop firms</t>
        </is>
      </c>
    </row>
    <row r="9">
      <c r="A9" s="5" t="inlineStr">
        <is>
          <t>Otros Activos</t>
        </is>
      </c>
      <c r="B9" s="36" t="n">
        <v>0</v>
      </c>
      <c r="C9" s="5" t="inlineStr">
        <is>
          <t>Otros activos</t>
        </is>
      </c>
    </row>
    <row r="10">
      <c r="A10" s="64" t="inlineStr">
        <is>
          <t>TOTAL ACTIVOS</t>
        </is>
      </c>
      <c r="B10" s="65">
        <f>SUM(B5:B9)</f>
        <v/>
      </c>
    </row>
    <row r="12">
      <c r="A12" s="66" t="inlineStr">
        <is>
          <t>PASIVOS / DEUDAS</t>
        </is>
      </c>
    </row>
    <row r="13">
      <c r="A13" s="32" t="inlineStr">
        <is>
          <t>Concepto</t>
        </is>
      </c>
      <c r="B13" s="32" t="inlineStr">
        <is>
          <t>Valor Actual (€)</t>
        </is>
      </c>
      <c r="C13" s="32" t="inlineStr">
        <is>
          <t>Notas</t>
        </is>
      </c>
    </row>
    <row r="14">
      <c r="A14" s="5" t="inlineStr">
        <is>
          <t>Deudas personales</t>
        </is>
      </c>
      <c r="B14" s="36" t="n">
        <v>0</v>
      </c>
      <c r="C14" s="5" t="inlineStr"/>
    </row>
    <row r="15">
      <c r="A15" s="7" t="inlineStr">
        <is>
          <t>Financiaciones pendientes</t>
        </is>
      </c>
      <c r="B15" s="38" t="n">
        <v>0</v>
      </c>
      <c r="C15" s="7" t="inlineStr"/>
    </row>
    <row r="16">
      <c r="A16" s="5" t="inlineStr">
        <is>
          <t>Otros pasivos</t>
        </is>
      </c>
      <c r="B16" s="36" t="n">
        <v>0</v>
      </c>
      <c r="C16" s="5" t="inlineStr"/>
    </row>
    <row r="17">
      <c r="A17" s="67" t="inlineStr">
        <is>
          <t>TOTAL PASIVOS</t>
        </is>
      </c>
      <c r="B17" s="68">
        <f>SUM(B14:B16)</f>
        <v/>
      </c>
    </row>
    <row r="19">
      <c r="A19" s="69" t="inlineStr">
        <is>
          <t>PATRIMONIO NETO</t>
        </is>
      </c>
    </row>
    <row r="20">
      <c r="A20" s="70" t="inlineStr">
        <is>
          <t>PATRIMONIO NETO = Activos - Pasivos</t>
        </is>
      </c>
      <c r="B20" s="71">
        <f>B10-B17</f>
        <v/>
      </c>
    </row>
    <row r="22">
      <c r="A22" s="50" t="inlineStr">
        <is>
          <t>EVOLUCIÓN HISTÓRICA DEL PATRIMONIO</t>
        </is>
      </c>
    </row>
    <row r="23">
      <c r="A23" s="32" t="inlineStr">
        <is>
          <t>Mes</t>
        </is>
      </c>
      <c r="B23" s="32" t="inlineStr">
        <is>
          <t>Activos (€)</t>
        </is>
      </c>
      <c r="C23" s="32" t="inlineStr">
        <is>
          <t>Pasivos (€)</t>
        </is>
      </c>
      <c r="D23" s="32" t="inlineStr">
        <is>
          <t>Patrimonio Neto (€)</t>
        </is>
      </c>
    </row>
    <row r="24">
      <c r="A24" s="5" t="inlineStr">
        <is>
          <t>Junio 2026</t>
        </is>
      </c>
      <c r="B24" s="36" t="n">
        <v>2700</v>
      </c>
      <c r="C24" s="36" t="n">
        <v>0</v>
      </c>
      <c r="D24" s="36">
        <f>B24-C24</f>
        <v/>
      </c>
    </row>
  </sheetData>
  <mergeCells count="5">
    <mergeCell ref="A1:D1"/>
    <mergeCell ref="A22:D22"/>
    <mergeCell ref="A12:D12"/>
    <mergeCell ref="A3:D3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</cols>
  <sheetData>
    <row r="1" ht="30" customHeight="1">
      <c r="A1" s="43" t="inlineStr">
        <is>
          <t>FONDO DE EMERGENCIA — COBERTURA FINANCIERA</t>
        </is>
      </c>
    </row>
    <row r="3">
      <c r="A3" s="6" t="inlineStr">
        <is>
          <t>Gastos fijos mensuales</t>
        </is>
      </c>
      <c r="B3" s="38" t="n">
        <v>1575</v>
      </c>
    </row>
    <row r="4">
      <c r="A4" s="4" t="inlineStr">
        <is>
          <t>Objetivo 3 meses</t>
        </is>
      </c>
      <c r="B4" s="36" t="n">
        <v>4725</v>
      </c>
    </row>
    <row r="5">
      <c r="A5" s="6" t="inlineStr">
        <is>
          <t>Objetivo 6 meses (recomendado)</t>
        </is>
      </c>
      <c r="B5" s="38" t="n">
        <v>9450</v>
      </c>
    </row>
    <row r="6">
      <c r="A6" s="4" t="inlineStr">
        <is>
          <t>Objetivo 12 meses (óptimo)</t>
        </is>
      </c>
      <c r="B6" s="36" t="n">
        <v>18900</v>
      </c>
    </row>
    <row r="8">
      <c r="A8" s="50" t="inlineStr">
        <is>
          <t>TU FONDO DE EMERGENCIA ACTUAL (edita la celda amarilla)</t>
        </is>
      </c>
    </row>
    <row r="9">
      <c r="A9" s="4" t="inlineStr">
        <is>
          <t>Capital actual fondo emergencia:</t>
        </is>
      </c>
      <c r="B9" s="49" t="n">
        <v>500</v>
      </c>
    </row>
    <row r="10">
      <c r="A10" s="4" t="inlineStr">
        <is>
          <t>Meses cubiertos actualmente</t>
        </is>
      </c>
      <c r="B10" s="72">
        <f>B9/1575</f>
        <v/>
      </c>
    </row>
    <row r="11">
      <c r="A11" s="6" t="inlineStr">
        <is>
          <t>% cobertura objetivo 6 meses</t>
        </is>
      </c>
      <c r="B11" s="39">
        <f>B9/9450</f>
        <v/>
      </c>
    </row>
    <row r="12">
      <c r="A12" s="4" t="inlineStr">
        <is>
          <t>% cobertura objetivo 12 meses</t>
        </is>
      </c>
      <c r="B12" s="37">
        <f>B9/18900</f>
        <v/>
      </c>
    </row>
    <row r="13">
      <c r="A13" s="6" t="inlineStr">
        <is>
          <t>Faltan para 6 meses</t>
        </is>
      </c>
      <c r="B13" s="38">
        <f>9450-B9</f>
        <v/>
      </c>
    </row>
    <row r="14">
      <c r="A14" s="4" t="inlineStr">
        <is>
          <t>Faltan para 12 meses</t>
        </is>
      </c>
      <c r="B14" s="36">
        <f>18900-B9</f>
        <v/>
      </c>
    </row>
    <row r="16">
      <c r="A16" s="4" t="inlineStr">
        <is>
          <t>Progreso hacia 6 meses:</t>
        </is>
      </c>
      <c r="B16" s="62">
        <f>REPT("█",ROUND(MIN(B11,1)*10,0))&amp;REPT("░",10-ROUND(MIN(B11,1)*10,0))&amp;" "&amp;TEXT(MIN(B11,1),"0%")</f>
        <v/>
      </c>
    </row>
    <row r="18">
      <c r="A18" s="50" t="inlineStr">
        <is>
          <t>HITOS DEL FONDO DE EMERGENCIA</t>
        </is>
      </c>
    </row>
    <row r="19">
      <c r="A19" s="73" t="inlineStr">
        <is>
          <t>Objetivo 1 mes: 1,575 €</t>
        </is>
      </c>
    </row>
    <row r="20">
      <c r="A20" s="74" t="inlineStr">
        <is>
          <t>Objetivo 3 meses: 4,725 €</t>
        </is>
      </c>
    </row>
    <row r="21">
      <c r="A21" s="73" t="inlineStr">
        <is>
          <t>Objetivo 6 meses ✓: 9,450 €</t>
        </is>
      </c>
    </row>
    <row r="22">
      <c r="A22" s="74" t="inlineStr">
        <is>
          <t>Objetivo 12 meses ★: 18,900 €</t>
        </is>
      </c>
    </row>
  </sheetData>
  <mergeCells count="3">
    <mergeCell ref="A1:D1"/>
    <mergeCell ref="A18:D18"/>
    <mergeCell ref="A8:D8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20" customWidth="1" min="6" max="6"/>
  </cols>
  <sheetData>
    <row r="1" ht="30" customHeight="1">
      <c r="A1" s="43" t="inlineStr">
        <is>
          <t>OBJETIVOS FINANCIEROS ANUALES 2026</t>
        </is>
      </c>
    </row>
    <row r="2">
      <c r="A2" s="35" t="inlineStr">
        <is>
          <t>Objetivo</t>
        </is>
      </c>
      <c r="B2" s="35" t="inlineStr">
        <is>
          <t>Meta Anual (€)</t>
        </is>
      </c>
      <c r="C2" s="35" t="inlineStr">
        <is>
          <t>Actual (€)</t>
        </is>
      </c>
      <c r="D2" s="35" t="inlineStr">
        <is>
          <t>Diferencia (€)</t>
        </is>
      </c>
      <c r="E2" s="35" t="inlineStr">
        <is>
          <t>% Cumplimiento</t>
        </is>
      </c>
      <c r="F2" s="35" t="inlineStr">
        <is>
          <t>Progreso Visual</t>
        </is>
      </c>
    </row>
    <row r="3">
      <c r="A3" s="58" t="inlineStr">
        <is>
          <t>Ahorro anual</t>
        </is>
      </c>
      <c r="B3" s="38" t="n">
        <v>2400</v>
      </c>
      <c r="C3" s="38" t="n">
        <v>200</v>
      </c>
      <c r="D3" s="38">
        <f>C3-B3</f>
        <v/>
      </c>
      <c r="E3" s="39">
        <f>IFERROR(C3/B3,0)</f>
        <v/>
      </c>
      <c r="F3" s="75">
        <f>REPT("█",ROUND(MIN(E3,1)*10,0))&amp;REPT("░",10-ROUND(MIN(E3,1)*10,0))</f>
        <v/>
      </c>
    </row>
    <row r="4">
      <c r="A4" s="56" t="inlineStr">
        <is>
          <t>Bankroll anual</t>
        </is>
      </c>
      <c r="B4" s="36" t="n">
        <v>2400</v>
      </c>
      <c r="C4" s="36" t="n">
        <v>200</v>
      </c>
      <c r="D4" s="36">
        <f>C4-B4</f>
        <v/>
      </c>
      <c r="E4" s="37">
        <f>IFERROR(C4/B4,0)</f>
        <v/>
      </c>
      <c r="F4" s="62">
        <f>REPT("█",ROUND(MIN(E4,1)*10,0))&amp;REPT("░",10-ROUND(MIN(E4,1)*10,0))</f>
        <v/>
      </c>
    </row>
    <row r="5">
      <c r="A5" s="58" t="inlineStr">
        <is>
          <t>Patrimonio anual</t>
        </is>
      </c>
      <c r="B5" s="38" t="n">
        <v>5000</v>
      </c>
      <c r="C5" s="38" t="n">
        <v>2700</v>
      </c>
      <c r="D5" s="38">
        <f>C5-B5</f>
        <v/>
      </c>
      <c r="E5" s="39">
        <f>IFERROR(C5/B5,0)</f>
        <v/>
      </c>
      <c r="F5" s="75">
        <f>REPT("█",ROUND(MIN(E5,1)*10,0))&amp;REPT("░",10-ROUND(MIN(E5,1)*10,0))</f>
        <v/>
      </c>
    </row>
    <row r="6">
      <c r="A6" s="56" t="inlineStr">
        <is>
          <t>Beneficios trading anual</t>
        </is>
      </c>
      <c r="B6" s="36" t="n">
        <v>4200</v>
      </c>
      <c r="C6" s="36" t="n">
        <v>350</v>
      </c>
      <c r="D6" s="36">
        <f>C6-B6</f>
        <v/>
      </c>
      <c r="E6" s="37">
        <f>IFERROR(C6/B6,0)</f>
        <v/>
      </c>
      <c r="F6" s="62">
        <f>REPT("█",ROUND(MIN(E6,1)*10,0))&amp;REPT("░",10-ROUND(MIN(E6,1)*10,0))</f>
        <v/>
      </c>
    </row>
  </sheetData>
  <mergeCells count="1">
    <mergeCell ref="A1:E1"/>
  </mergeCells>
  <conditionalFormatting sqref="E3:E10">
    <cfRule type="cellIs" priority="1" operator="greaterThanOrEqual" dxfId="3">
      <formula>0.75</formula>
    </cfRule>
    <cfRule type="cellIs" priority="2" operator="between" dxfId="5">
      <formula>0.5</formula>
      <formula>0.75</formula>
    </cfRule>
    <cfRule type="cellIs" priority="3" operator="lessThan" dxfId="4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43" t="inlineStr">
        <is>
          <t>GASTOS HORMIGA — CONTROL DE PEQUEÑOS GASTOS</t>
        </is>
      </c>
    </row>
    <row r="2">
      <c r="A2" s="35" t="inlineStr">
        <is>
          <t>Fecha</t>
        </is>
      </c>
      <c r="B2" s="35" t="inlineStr">
        <is>
          <t>Mes</t>
        </is>
      </c>
      <c r="C2" s="35" t="inlineStr">
        <is>
          <t>Categoría</t>
        </is>
      </c>
      <c r="D2" s="35" t="inlineStr">
        <is>
          <t>Descripción</t>
        </is>
      </c>
      <c r="E2" s="35" t="inlineStr">
        <is>
          <t>Importe (€)</t>
        </is>
      </c>
      <c r="F2" s="35" t="inlineStr">
        <is>
          <t>% Ingreso</t>
        </is>
      </c>
      <c r="G2" s="35" t="inlineStr">
        <is>
          <t>Alerta</t>
        </is>
      </c>
    </row>
    <row r="3">
      <c r="A3" s="44" t="n">
        <v>46183</v>
      </c>
      <c r="B3" s="45" t="inlineStr">
        <is>
          <t>Junio</t>
        </is>
      </c>
      <c r="C3" s="45" t="inlineStr">
        <is>
          <t>Restaurantes</t>
        </is>
      </c>
      <c r="D3" s="7" t="inlineStr">
        <is>
          <t>Restaurante familiar</t>
        </is>
      </c>
      <c r="E3" s="38" t="n">
        <v>35</v>
      </c>
      <c r="F3" s="39">
        <f>E3/2000</f>
        <v/>
      </c>
      <c r="G3" s="76">
        <f>IF(E3/2000&gt;0.05,"⚠️ ALERTA","")</f>
        <v/>
      </c>
    </row>
    <row r="4">
      <c r="A4" s="46" t="n">
        <v>46185</v>
      </c>
      <c r="B4" s="47" t="inlineStr">
        <is>
          <t>Junio</t>
        </is>
      </c>
      <c r="C4" s="47" t="inlineStr">
        <is>
          <t>Amazon</t>
        </is>
      </c>
      <c r="D4" s="5" t="inlineStr">
        <is>
          <t>Compra Amazon impulsiva</t>
        </is>
      </c>
      <c r="E4" s="36" t="n">
        <v>28.5</v>
      </c>
      <c r="F4" s="37">
        <f>E4/2000</f>
        <v/>
      </c>
      <c r="G4" s="77">
        <f>IF(E4/2000&gt;0.05,"⚠️ ALERTA","")</f>
        <v/>
      </c>
    </row>
    <row r="5">
      <c r="A5" s="44" t="n">
        <v>46187</v>
      </c>
      <c r="B5" s="45" t="inlineStr">
        <is>
          <t>Junio</t>
        </is>
      </c>
      <c r="C5" s="45" t="inlineStr">
        <is>
          <t>Ocio</t>
        </is>
      </c>
      <c r="D5" s="7" t="inlineStr">
        <is>
          <t>Cine + palomitas</t>
        </is>
      </c>
      <c r="E5" s="38" t="n">
        <v>18</v>
      </c>
      <c r="F5" s="39">
        <f>E5/2000</f>
        <v/>
      </c>
      <c r="G5" s="76">
        <f>IF(E5/2000&gt;0.05,"⚠️ ALERTA","")</f>
        <v/>
      </c>
    </row>
    <row r="6">
      <c r="A6" s="46" t="n">
        <v>46191</v>
      </c>
      <c r="B6" s="47" t="inlineStr">
        <is>
          <t>Junio</t>
        </is>
      </c>
      <c r="C6" s="47" t="inlineStr">
        <is>
          <t>Suscripciones</t>
        </is>
      </c>
      <c r="D6" s="5" t="inlineStr">
        <is>
          <t>Netflix</t>
        </is>
      </c>
      <c r="E6" s="36" t="n">
        <v>13.99</v>
      </c>
      <c r="F6" s="37">
        <f>E6/2000</f>
        <v/>
      </c>
      <c r="G6" s="77">
        <f>IF(E6/2000&gt;0.05,"⚠️ ALERTA","")</f>
        <v/>
      </c>
    </row>
    <row r="7">
      <c r="A7" s="44" t="n">
        <v>46195</v>
      </c>
      <c r="B7" s="45" t="inlineStr">
        <is>
          <t>Junio</t>
        </is>
      </c>
      <c r="C7" s="45" t="inlineStr">
        <is>
          <t>Compras impulsivas</t>
        </is>
      </c>
      <c r="D7" s="7" t="inlineStr">
        <is>
          <t>Ropa</t>
        </is>
      </c>
      <c r="E7" s="38" t="n">
        <v>45</v>
      </c>
      <c r="F7" s="39">
        <f>E7/2000</f>
        <v/>
      </c>
      <c r="G7" s="76">
        <f>IF(E7/2000&gt;0.05,"⚠️ ALERTA","")</f>
        <v/>
      </c>
    </row>
    <row r="10">
      <c r="A10" s="50" t="inlineStr">
        <is>
          <t>RESUMEN POR CATEGORÍA — JUNIO 2026</t>
        </is>
      </c>
    </row>
    <row r="11">
      <c r="A11" s="32" t="inlineStr">
        <is>
          <t>Categoría</t>
        </is>
      </c>
      <c r="B11" s="32" t="inlineStr">
        <is>
          <t>Total Mes (€)</t>
        </is>
      </c>
      <c r="C11" s="32" t="inlineStr">
        <is>
          <t>% Ingreso</t>
        </is>
      </c>
      <c r="D11" s="32" t="inlineStr">
        <is>
          <t>Límite 5%</t>
        </is>
      </c>
      <c r="E11" s="32" t="inlineStr">
        <is>
          <t>Estado</t>
        </is>
      </c>
    </row>
    <row r="12">
      <c r="A12" s="56" t="inlineStr">
        <is>
          <t>Restaurantes</t>
        </is>
      </c>
      <c r="B12" s="36">
        <f>SUMIF(C3:C100,A12,E3:E100)</f>
        <v/>
      </c>
      <c r="C12" s="37">
        <f>B12/2000</f>
        <v/>
      </c>
      <c r="D12" s="47" t="inlineStr">
        <is>
          <t>5% = 100 €</t>
        </is>
      </c>
      <c r="E12" s="78">
        <f>IF(B12&gt;100,"⚠️ EXCEDIDO","✓ OK")</f>
        <v/>
      </c>
    </row>
    <row r="13">
      <c r="A13" s="58" t="inlineStr">
        <is>
          <t>Amazon</t>
        </is>
      </c>
      <c r="B13" s="38">
        <f>SUMIF(C3:C100,A13,E3:E100)</f>
        <v/>
      </c>
      <c r="C13" s="39">
        <f>B13/2000</f>
        <v/>
      </c>
      <c r="D13" s="45" t="inlineStr">
        <is>
          <t>5% = 100 €</t>
        </is>
      </c>
      <c r="E13" s="79">
        <f>IF(B13&gt;100,"⚠️ EXCEDIDO","✓ OK")</f>
        <v/>
      </c>
    </row>
    <row r="14">
      <c r="A14" s="56" t="inlineStr">
        <is>
          <t>Ocio</t>
        </is>
      </c>
      <c r="B14" s="36">
        <f>SUMIF(C3:C100,A14,E3:E100)</f>
        <v/>
      </c>
      <c r="C14" s="37">
        <f>B14/2000</f>
        <v/>
      </c>
      <c r="D14" s="47" t="inlineStr">
        <is>
          <t>5% = 100 €</t>
        </is>
      </c>
      <c r="E14" s="78">
        <f>IF(B14&gt;100,"⚠️ EXCEDIDO","✓ OK")</f>
        <v/>
      </c>
    </row>
    <row r="15">
      <c r="A15" s="58" t="inlineStr">
        <is>
          <t>Compras impulsivas</t>
        </is>
      </c>
      <c r="B15" s="38">
        <f>SUMIF(C3:C100,A15,E3:E100)</f>
        <v/>
      </c>
      <c r="C15" s="39">
        <f>B15/2000</f>
        <v/>
      </c>
      <c r="D15" s="45" t="inlineStr">
        <is>
          <t>5% = 100 €</t>
        </is>
      </c>
      <c r="E15" s="79">
        <f>IF(B15&gt;100,"⚠️ EXCEDIDO","✓ OK")</f>
        <v/>
      </c>
    </row>
    <row r="16">
      <c r="A16" s="56" t="inlineStr">
        <is>
          <t>Suscripciones</t>
        </is>
      </c>
      <c r="B16" s="36">
        <f>SUMIF(C3:C100,A16,E3:E100)</f>
        <v/>
      </c>
      <c r="C16" s="37">
        <f>B16/2000</f>
        <v/>
      </c>
      <c r="D16" s="47" t="inlineStr">
        <is>
          <t>5% = 100 €</t>
        </is>
      </c>
      <c r="E16" s="78">
        <f>IF(B16&gt;100,"⚠️ EXCEDIDO","✓ OK")</f>
        <v/>
      </c>
    </row>
  </sheetData>
  <mergeCells count="2">
    <mergeCell ref="A1:G1"/>
    <mergeCell ref="A10:G10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K1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43" t="inlineStr">
        <is>
          <t>RANKING DE MEJORES MESES — TOP 5 HISTÓRICO</t>
        </is>
      </c>
    </row>
    <row r="3">
      <c r="A3" s="50" t="inlineStr">
        <is>
          <t>MEJORES MESES — INGRESOS</t>
        </is>
      </c>
      <c r="E3" s="50" t="inlineStr">
        <is>
          <t>MEJORES MESES — AHORRO</t>
        </is>
      </c>
      <c r="I3" s="50" t="inlineStr">
        <is>
          <t>MEJORES MESES — TRADING</t>
        </is>
      </c>
    </row>
    <row r="4">
      <c r="A4" s="32" t="inlineStr">
        <is>
          <t>Posición</t>
        </is>
      </c>
      <c r="B4" s="32" t="inlineStr">
        <is>
          <t>Mes</t>
        </is>
      </c>
      <c r="C4" s="32" t="inlineStr">
        <is>
          <t>Importe (€)</t>
        </is>
      </c>
      <c r="E4" s="32" t="inlineStr">
        <is>
          <t>Posición</t>
        </is>
      </c>
      <c r="F4" s="32" t="inlineStr">
        <is>
          <t>Mes</t>
        </is>
      </c>
      <c r="G4" s="32" t="inlineStr">
        <is>
          <t>Importe (€)</t>
        </is>
      </c>
      <c r="I4" s="32" t="inlineStr">
        <is>
          <t>Posición</t>
        </is>
      </c>
      <c r="J4" s="32" t="inlineStr">
        <is>
          <t>Mes</t>
        </is>
      </c>
      <c r="K4" s="32" t="inlineStr">
        <is>
          <t>Importe (€)</t>
        </is>
      </c>
    </row>
    <row r="5">
      <c r="A5" s="80" t="inlineStr">
        <is>
          <t>🥇</t>
        </is>
      </c>
      <c r="B5" s="81" t="inlineStr">
        <is>
          <t>Junio 2026</t>
        </is>
      </c>
      <c r="C5" s="60" t="n">
        <v>2350</v>
      </c>
      <c r="E5" s="80" t="inlineStr">
        <is>
          <t>🥇</t>
        </is>
      </c>
      <c r="F5" s="81" t="inlineStr">
        <is>
          <t>Junio 2026</t>
        </is>
      </c>
      <c r="G5" s="60" t="n">
        <v>2350</v>
      </c>
      <c r="I5" s="80" t="inlineStr">
        <is>
          <t>🥇</t>
        </is>
      </c>
      <c r="J5" s="81" t="inlineStr">
        <is>
          <t>Junio 2026</t>
        </is>
      </c>
      <c r="K5" s="60" t="n">
        <v>2350</v>
      </c>
    </row>
    <row r="6">
      <c r="A6" s="45" t="inlineStr">
        <is>
          <t>🥈</t>
        </is>
      </c>
      <c r="B6" s="7" t="inlineStr">
        <is>
          <t>—</t>
        </is>
      </c>
      <c r="C6" s="38" t="n">
        <v>0</v>
      </c>
      <c r="E6" s="45" t="inlineStr">
        <is>
          <t>🥈</t>
        </is>
      </c>
      <c r="F6" s="7" t="inlineStr">
        <is>
          <t>—</t>
        </is>
      </c>
      <c r="G6" s="38" t="n">
        <v>0</v>
      </c>
      <c r="I6" s="45" t="inlineStr">
        <is>
          <t>🥈</t>
        </is>
      </c>
      <c r="J6" s="7" t="inlineStr">
        <is>
          <t>—</t>
        </is>
      </c>
      <c r="K6" s="38" t="n">
        <v>0</v>
      </c>
    </row>
    <row r="7">
      <c r="A7" s="47" t="inlineStr">
        <is>
          <t>🥉</t>
        </is>
      </c>
      <c r="B7" s="5" t="inlineStr">
        <is>
          <t>—</t>
        </is>
      </c>
      <c r="C7" s="36" t="n">
        <v>0</v>
      </c>
      <c r="E7" s="47" t="inlineStr">
        <is>
          <t>🥉</t>
        </is>
      </c>
      <c r="F7" s="5" t="inlineStr">
        <is>
          <t>—</t>
        </is>
      </c>
      <c r="G7" s="36" t="n">
        <v>0</v>
      </c>
      <c r="I7" s="47" t="inlineStr">
        <is>
          <t>🥉</t>
        </is>
      </c>
      <c r="J7" s="5" t="inlineStr">
        <is>
          <t>—</t>
        </is>
      </c>
      <c r="K7" s="36" t="n">
        <v>0</v>
      </c>
    </row>
    <row r="8">
      <c r="A8" s="45" t="inlineStr">
        <is>
          <t>4º</t>
        </is>
      </c>
      <c r="B8" s="7" t="inlineStr">
        <is>
          <t>—</t>
        </is>
      </c>
      <c r="C8" s="38" t="n">
        <v>0</v>
      </c>
      <c r="E8" s="45" t="inlineStr">
        <is>
          <t>4º</t>
        </is>
      </c>
      <c r="F8" s="7" t="inlineStr">
        <is>
          <t>—</t>
        </is>
      </c>
      <c r="G8" s="38" t="n">
        <v>0</v>
      </c>
      <c r="I8" s="45" t="inlineStr">
        <is>
          <t>4º</t>
        </is>
      </c>
      <c r="J8" s="7" t="inlineStr">
        <is>
          <t>—</t>
        </is>
      </c>
      <c r="K8" s="38" t="n">
        <v>0</v>
      </c>
    </row>
    <row r="9">
      <c r="A9" s="47" t="inlineStr">
        <is>
          <t>5º</t>
        </is>
      </c>
      <c r="B9" s="5" t="inlineStr">
        <is>
          <t>—</t>
        </is>
      </c>
      <c r="C9" s="36" t="n">
        <v>0</v>
      </c>
      <c r="E9" s="47" t="inlineStr">
        <is>
          <t>5º</t>
        </is>
      </c>
      <c r="F9" s="5" t="inlineStr">
        <is>
          <t>—</t>
        </is>
      </c>
      <c r="G9" s="36" t="n">
        <v>0</v>
      </c>
      <c r="I9" s="47" t="inlineStr">
        <is>
          <t>5º</t>
        </is>
      </c>
      <c r="J9" s="5" t="inlineStr">
        <is>
          <t>—</t>
        </is>
      </c>
      <c r="K9" s="36" t="n">
        <v>0</v>
      </c>
    </row>
    <row r="11">
      <c r="A11" s="82" t="inlineStr">
        <is>
          <t>ℹ️ NOTA: A medida que ingreses datos en las demás hojas, actualiza manualmente los valores de este ranking o añade fórmulas LARGE/INDEX/MATCH según tu estructura de datos.</t>
        </is>
      </c>
    </row>
  </sheetData>
  <mergeCells count="5">
    <mergeCell ref="A11:H11"/>
    <mergeCell ref="A3:C3"/>
    <mergeCell ref="E3:G3"/>
    <mergeCell ref="A1:H1"/>
    <mergeCell ref="I3:K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</cols>
  <sheetData>
    <row r="1" ht="30" customHeight="1">
      <c r="A1" s="43" t="inlineStr">
        <is>
          <t>LIBERTAD FINANCIERA — COBERTURA CON TRADING</t>
        </is>
      </c>
    </row>
    <row r="3">
      <c r="A3" s="73" t="inlineStr">
        <is>
          <t>Gastos mensuales fijos</t>
        </is>
      </c>
      <c r="B3" s="83" t="n">
        <v>1575</v>
      </c>
    </row>
    <row r="4">
      <c r="A4" s="74" t="inlineStr">
        <is>
          <t>Beneficio medio mensual trading (editar)</t>
        </is>
      </c>
      <c r="B4" s="84" t="n">
        <v>350</v>
      </c>
    </row>
    <row r="5">
      <c r="A5" s="13" t="inlineStr">
        <is>
          <t>% Cobertura actual</t>
        </is>
      </c>
      <c r="B5" s="55">
        <f>B4/B3</f>
        <v/>
      </c>
    </row>
    <row r="6">
      <c r="A6" s="74" t="inlineStr">
        <is>
          <t>Meses con datos de trading</t>
        </is>
      </c>
      <c r="B6" s="85" t="n">
        <v>1</v>
      </c>
    </row>
    <row r="8">
      <c r="A8" s="4" t="inlineStr">
        <is>
          <t>Progreso libertad financiera:</t>
        </is>
      </c>
      <c r="B8" s="86">
        <f>REPT("█",ROUND(MIN(B5,1)*10,0))&amp;REPT("░",10-ROUND(MIN(B5,1)*10,0))&amp;" "&amp;TEXT(MIN(B5,1),"0%")</f>
        <v/>
      </c>
    </row>
    <row r="9">
      <c r="A9" s="87" t="inlineStr">
        <is>
          <t>Estado actual:</t>
        </is>
      </c>
      <c r="B9" s="87">
        <f>"Actualmente el trading cubre el "&amp;TEXT(B5,"0.0%")&amp;" de tus gastos mensuales fijos"</f>
        <v/>
      </c>
    </row>
    <row r="11">
      <c r="A11" s="50" t="inlineStr">
        <is>
          <t>HITOS DE LIBERTAD FINANCIERA</t>
        </is>
      </c>
    </row>
    <row r="12">
      <c r="A12" s="88" t="inlineStr">
        <is>
          <t>25%</t>
        </is>
      </c>
      <c r="B12" s="74" t="inlineStr">
        <is>
          <t>25% — Inicio del camino: trading cubre 1/4 de gastos</t>
        </is>
      </c>
    </row>
    <row r="13">
      <c r="A13" s="88" t="inlineStr">
        <is>
          <t>50%</t>
        </is>
      </c>
      <c r="B13" s="74" t="inlineStr">
        <is>
          <t>50% — Punto medio: trading cubre la mitad de gastos</t>
        </is>
      </c>
    </row>
    <row r="14">
      <c r="A14" s="88" t="inlineStr">
        <is>
          <t>75%</t>
        </is>
      </c>
      <c r="B14" s="74" t="inlineStr">
        <is>
          <t>75% — Casi libre: solo 25% depende del empleo</t>
        </is>
      </c>
    </row>
    <row r="15">
      <c r="A15" s="88" t="inlineStr">
        <is>
          <t>100%</t>
        </is>
      </c>
      <c r="B15" s="74" t="inlineStr">
        <is>
          <t>100% —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8" customWidth="1" min="4" max="4"/>
    <col width="22" customWidth="1" min="5" max="5"/>
    <col width="20" customWidth="1" min="6" max="6"/>
  </cols>
  <sheetData>
    <row r="1" ht="30" customHeight="1">
      <c r="A1" s="43" t="inlineStr">
        <is>
          <t>PROYECCIONES FUTURAS — 1, 3 Y 5 AÑOS</t>
        </is>
      </c>
    </row>
    <row r="3">
      <c r="A3" s="50" t="inlineStr">
        <is>
          <t>PARÁMETROS DE ENTRADA (edita las celdas amarillas)</t>
        </is>
      </c>
    </row>
    <row r="4">
      <c r="A4" s="4" t="inlineStr">
        <is>
          <t>Ingreso medio mensual neto</t>
        </is>
      </c>
      <c r="B4" s="89" t="n">
        <v>2000</v>
      </c>
    </row>
    <row r="5">
      <c r="A5" s="4" t="inlineStr">
        <is>
          <t>Tasa de ahorro mensual %</t>
        </is>
      </c>
      <c r="B5" s="90" t="n">
        <v>0.1</v>
      </c>
    </row>
    <row r="6">
      <c r="A6" s="4" t="inlineStr">
        <is>
          <t>Beneficio medio mensual trading</t>
        </is>
      </c>
      <c r="B6" s="89" t="n">
        <v>350</v>
      </c>
    </row>
    <row r="7">
      <c r="A7" s="4" t="inlineStr">
        <is>
          <t>Rentabilidad anual inversión %</t>
        </is>
      </c>
      <c r="B7" s="90" t="n">
        <v>0.05</v>
      </c>
    </row>
    <row r="8">
      <c r="A8" s="4" t="inlineStr">
        <is>
          <t>Aportación bankroll mensual</t>
        </is>
      </c>
      <c r="B8" s="89" t="n">
        <v>200</v>
      </c>
    </row>
    <row r="10">
      <c r="A10" s="50" t="inlineStr">
        <is>
          <t>TABLA DE PROYECCIONES</t>
        </is>
      </c>
    </row>
    <row r="11">
      <c r="A11" s="32" t="inlineStr">
        <is>
          <t>Año</t>
        </is>
      </c>
      <c r="B11" s="32" t="inlineStr">
        <is>
          <t>Ahorro Acumulado (€)</t>
        </is>
      </c>
      <c r="C11" s="32" t="inlineStr">
        <is>
          <t>Bankroll (€)</t>
        </is>
      </c>
      <c r="D11" s="32" t="inlineStr">
        <is>
          <t>Patrimonio Total (€)</t>
        </is>
      </c>
      <c r="E11" s="32" t="inlineStr">
        <is>
          <t>Benef. Trading Acum. (€)</t>
        </is>
      </c>
      <c r="F11" s="32" t="inlineStr">
        <is>
          <t>Libertad Financiera %</t>
        </is>
      </c>
    </row>
    <row r="12">
      <c r="A12" s="58" t="inlineStr">
        <is>
          <t>Año 1</t>
        </is>
      </c>
      <c r="B12" s="38">
        <f>$B$4*$B$5*12*1</f>
        <v/>
      </c>
      <c r="C12" s="38">
        <f>$B$8*12*1</f>
        <v/>
      </c>
      <c r="D12" s="38">
        <f>B12+C12</f>
        <v/>
      </c>
      <c r="E12" s="38">
        <f>$B$6*12*1</f>
        <v/>
      </c>
      <c r="F12" s="39">
        <f>IFERROR($B$6/1575,0)</f>
        <v/>
      </c>
    </row>
    <row r="13">
      <c r="A13" s="56" t="inlineStr">
        <is>
          <t>Año 2</t>
        </is>
      </c>
      <c r="B13" s="36">
        <f>$B$4*$B$5*12*2</f>
        <v/>
      </c>
      <c r="C13" s="36">
        <f>$B$8*12*2</f>
        <v/>
      </c>
      <c r="D13" s="36">
        <f>B13+C13</f>
        <v/>
      </c>
      <c r="E13" s="36">
        <f>$B$6*12*2</f>
        <v/>
      </c>
      <c r="F13" s="37">
        <f>IFERROR($B$6/1575,0)</f>
        <v/>
      </c>
    </row>
    <row r="14">
      <c r="A14" s="58" t="inlineStr">
        <is>
          <t>Año 3</t>
        </is>
      </c>
      <c r="B14" s="38">
        <f>$B$4*$B$5*12*3</f>
        <v/>
      </c>
      <c r="C14" s="38">
        <f>$B$8*12*3</f>
        <v/>
      </c>
      <c r="D14" s="38">
        <f>B14+C14</f>
        <v/>
      </c>
      <c r="E14" s="38">
        <f>$B$6*12*3</f>
        <v/>
      </c>
      <c r="F14" s="39">
        <f>IFERROR($B$6/1575,0)</f>
        <v/>
      </c>
    </row>
    <row r="15">
      <c r="A15" s="56" t="inlineStr">
        <is>
          <t>Año 4</t>
        </is>
      </c>
      <c r="B15" s="36">
        <f>$B$4*$B$5*12*4</f>
        <v/>
      </c>
      <c r="C15" s="36">
        <f>$B$8*12*4</f>
        <v/>
      </c>
      <c r="D15" s="36">
        <f>B15+C15</f>
        <v/>
      </c>
      <c r="E15" s="36">
        <f>$B$6*12*4</f>
        <v/>
      </c>
      <c r="F15" s="37">
        <f>IFERROR($B$6/1575,0)</f>
        <v/>
      </c>
    </row>
    <row r="16">
      <c r="A16" s="58" t="inlineStr">
        <is>
          <t>Año 5</t>
        </is>
      </c>
      <c r="B16" s="38">
        <f>$B$4*$B$5*12*5</f>
        <v/>
      </c>
      <c r="C16" s="38">
        <f>$B$8*12*5</f>
        <v/>
      </c>
      <c r="D16" s="38">
        <f>B16+C16</f>
        <v/>
      </c>
      <c r="E16" s="38">
        <f>$B$6*12*5</f>
        <v/>
      </c>
      <c r="F16" s="39">
        <f>IFERROR($B$6/1575,0)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28" customWidth="1" min="3" max="3"/>
    <col width="18" customWidth="1" min="4" max="4"/>
  </cols>
  <sheetData>
    <row r="1" ht="30" customHeight="1">
      <c r="A1" s="43" t="inlineStr">
        <is>
          <t>SCORE DEL TRADER — EVALUACIÓN INTEGRAL 0-100</t>
        </is>
      </c>
    </row>
    <row r="3">
      <c r="A3" s="50" t="inlineStr">
        <is>
          <t>COMPONENTES DEL SCORE (edita los valores actuales)</t>
        </is>
      </c>
    </row>
    <row r="4">
      <c r="A4" s="32" t="inlineStr">
        <is>
          <t>Componente</t>
        </is>
      </c>
      <c r="B4" s="32" t="inlineStr">
        <is>
          <t>Peso</t>
        </is>
      </c>
      <c r="C4" s="32" t="inlineStr">
        <is>
          <t>Valor Actual</t>
        </is>
      </c>
      <c r="D4" s="32" t="inlineStr">
        <is>
          <t>Puntos Obtenidos</t>
        </is>
      </c>
    </row>
    <row r="5">
      <c r="A5" s="58" t="inlineStr">
        <is>
          <t>Cumplimiento Ahorro</t>
        </is>
      </c>
      <c r="B5" s="45" t="inlineStr">
        <is>
          <t>20 pts</t>
        </is>
      </c>
      <c r="C5" s="7" t="inlineStr">
        <is>
          <t>Ahorro actual / objetivo</t>
        </is>
      </c>
      <c r="D5" s="91">
        <f>MIN(20,IFERROR(200/2400*20,0))</f>
        <v/>
      </c>
    </row>
    <row r="6">
      <c r="A6" s="56" t="inlineStr">
        <is>
          <t>Cumplimiento Bankroll</t>
        </is>
      </c>
      <c r="B6" s="47" t="inlineStr">
        <is>
          <t>20 pts</t>
        </is>
      </c>
      <c r="C6" s="5" t="inlineStr">
        <is>
          <t>Bankroll actual / objetivo</t>
        </is>
      </c>
      <c r="D6" s="92">
        <f>MIN(20,IFERROR(200/2400*20,0))</f>
        <v/>
      </c>
    </row>
    <row r="7">
      <c r="A7" s="58" t="inlineStr">
        <is>
          <t>Control de Gastos</t>
        </is>
      </c>
      <c r="B7" s="45" t="inlineStr">
        <is>
          <t>20 pts</t>
        </is>
      </c>
      <c r="C7" s="7" t="inlineStr">
        <is>
          <t>Gastos &lt; presupuesto</t>
        </is>
      </c>
      <c r="D7" s="91">
        <f>IF(1575&lt;=2000,20,MAX(0,20-((1575-2000)/2000)*20))</f>
        <v/>
      </c>
    </row>
    <row r="8">
      <c r="A8" s="56" t="inlineStr">
        <is>
          <t>Crecimiento Patrimonio</t>
        </is>
      </c>
      <c r="B8" s="47" t="inlineStr">
        <is>
          <t>20 pts</t>
        </is>
      </c>
      <c r="C8" s="5" t="inlineStr">
        <is>
          <t>% crecimiento vs inicio</t>
        </is>
      </c>
      <c r="D8" s="92">
        <f>MIN(20,IFERROR((2700-0)/5000*20,0))</f>
        <v/>
      </c>
    </row>
    <row r="9">
      <c r="A9" s="58" t="inlineStr">
        <is>
          <t>Resultados Trading</t>
        </is>
      </c>
      <c r="B9" s="45" t="inlineStr">
        <is>
          <t>20 pts</t>
        </is>
      </c>
      <c r="C9" s="7" t="inlineStr">
        <is>
          <t>ROI sobre bankroll</t>
        </is>
      </c>
      <c r="D9" s="91">
        <f>MIN(20,IFERROR(350/2000*20,0))</f>
        <v/>
      </c>
    </row>
    <row r="10">
      <c r="A10" s="93" t="inlineStr">
        <is>
          <t>SCORE TOTAL DEL TRADER</t>
        </is>
      </c>
      <c r="D10" s="94">
        <f>ROUND(SUM(D5:D9),1)</f>
        <v/>
      </c>
    </row>
    <row r="12">
      <c r="A12" s="50" t="inlineStr">
        <is>
          <t>SEMÁFORO DE EVALUACIÓN</t>
        </is>
      </c>
    </row>
    <row r="13" ht="18" customHeight="1">
      <c r="A13" s="9" t="inlineStr">
        <is>
          <t>🟢 SCORE ≥ 70 — EXCELENTE: Vas por buen camino, mantén el ritmo</t>
        </is>
      </c>
    </row>
    <row r="14" ht="18" customHeight="1">
      <c r="A14" s="10" t="inlineStr">
        <is>
          <t>🟡 SCORE 40-69 — MEJORABLE: Hay áreas que necesitan atención</t>
        </is>
      </c>
    </row>
    <row r="15" ht="18" customHeight="1">
      <c r="A15" s="11" t="inlineStr">
        <is>
          <t>🔴 SCORE &lt; 40 — ALERTA: Revisa tu estrategia financiera</t>
        </is>
      </c>
    </row>
    <row r="17">
      <c r="A17" s="4" t="inlineStr">
        <is>
          <t>Tu evaluación:</t>
        </is>
      </c>
      <c r="B17" s="95">
        <f>IF(D10&gt;=70,"🟢 EXCELENTE — Score: "&amp;TEXT(D10,"0.0")&amp;"/100",IF(D10&gt;=40,"🟡 MEJORABLE — Score: "&amp;TEXT(D10,"0.0")&amp;"/100","🔴 ALERTA —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2026-06-06T20:38:40Z</dcterms:created>
  <dcterms:modified xsi:type="dcterms:W3CDTF">2026-06-06T20:38:41Z</dcterms:modified>
</cp:coreProperties>
</file>