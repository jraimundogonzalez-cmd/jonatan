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RANKING MEJORES MESES" sheetId="13" state="visible" r:id="rId13"/>
    <sheet name="LIBERTAD FINANCIERA" sheetId="14" state="visible" r:id="rId14"/>
    <sheet name="PROYECCIONES FUTURAS" sheetId="15" state="visible" r:id="rId15"/>
    <sheet name="SCORE DEL TRADER" sheetId="16" state="visible" r:id="rId16"/>
  </sheets>
  <definedNames>
    <definedName name="_xlnm.Print_Area" localSheetId="0">'GUIA DE USO'!$A$1:$J$42</definedName>
    <definedName name="_xlnm.Print_Area" localSheetId="1">'DASHBOARD EJECUTIVO'!$A$1:$N$27</definedName>
    <definedName name="_xlnm.Print_Area" localSheetId="2">'REGISTRO DE MOVIMIENTOS'!$A$1:$L$7</definedName>
    <definedName name="_xlnm.Print_Area" localSheetId="3">'PRESUPUESTO MENSUAL'!$A$1:$H$38</definedName>
    <definedName name="_xlnm.Print_Area" localSheetId="4">'CONTROL DE AHORRO'!$A$1:$H$16</definedName>
    <definedName name="_xlnm.Print_Area" localSheetId="5">'CONTROL DE BANKROLL'!$A$1:$G$14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HORMIGA'!$A$1:$I$513</definedName>
    <definedName name="_xlnm.Print_Area" localSheetId="12">'RANKING MEJORES MESES'!$A$1:$K$17</definedName>
    <definedName name="_xlnm.Print_Area" localSheetId="13">'LIBERTAD FINANCIERA'!$A$1:$F$20</definedName>
    <definedName name="_xlnm.Print_Area" localSheetId="14">'PROYECCIONES FUTURAS'!$A$1:$H$21</definedName>
    <definedName name="_xlnm.Print_Area" localSheetId="15">'SCORE DEL TRADER'!$A$1:$F$22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€"/>
    <numFmt numFmtId="165" formatCode="0.0%"/>
    <numFmt numFmtId="166" formatCode="yyyy-mm-dd"/>
    <numFmt numFmtId="167" formatCode="DD/MM/YYYY"/>
    <numFmt numFmtId="168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41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4" fontId="5" fillId="11" borderId="1" applyAlignment="1" pivotButton="0" quotePrefix="0" xfId="15">
      <alignment horizontal="center" vertical="center" wrapText="1"/>
    </xf>
    <xf numFmtId="165" fontId="5" fillId="11" borderId="1" applyAlignment="1" pivotButton="0" quotePrefix="0" xfId="15">
      <alignment horizontal="center" vertical="center" wrapText="1"/>
    </xf>
    <xf numFmtId="168" fontId="5" fillId="11" borderId="1" applyAlignment="1" pivotButton="0" quotePrefix="0" xfId="15">
      <alignment horizontal="center" vertical="center" wrapText="1"/>
    </xf>
    <xf numFmtId="164" fontId="5" fillId="12" borderId="1" applyAlignment="1" pivotButton="0" quotePrefix="0" xfId="17">
      <alignment horizontal="right" vertical="center" wrapText="1"/>
    </xf>
    <xf numFmtId="165" fontId="5" fillId="12" borderId="1" applyAlignment="1" pivotButton="0" quotePrefix="0" xfId="17">
      <alignment horizontal="right" vertical="center" wrapText="1"/>
    </xf>
    <xf numFmtId="164" fontId="5" fillId="11" borderId="1" applyAlignment="1" pivotButton="0" quotePrefix="0" xfId="14">
      <alignment horizontal="right" vertical="center" wrapText="1"/>
    </xf>
    <xf numFmtId="165" fontId="5" fillId="11" borderId="1" applyAlignment="1" pivotButton="0" quotePrefix="0" xfId="14">
      <alignment horizontal="right" vertical="center" wrapText="1"/>
    </xf>
    <xf numFmtId="164" fontId="3" fillId="4" borderId="1" applyAlignment="1" pivotButton="0" quotePrefix="0" xfId="5">
      <alignment horizontal="right" vertical="center" wrapText="1"/>
    </xf>
    <xf numFmtId="165" fontId="3" fillId="4" borderId="1" applyAlignment="1" pivotButton="0" quotePrefix="0" xfId="5">
      <alignment horizontal="right" vertical="center" wrapText="1"/>
    </xf>
    <xf numFmtId="164" fontId="6" fillId="4" borderId="1" applyAlignment="1" pivotButton="0" quotePrefix="0" xfId="21">
      <alignment horizontal="right" vertical="center" wrapText="1"/>
    </xf>
    <xf numFmtId="0" fontId="5" fillId="12" borderId="1" applyAlignment="1" pivotButton="0" quotePrefix="0" xfId="18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167" fontId="5" fillId="12" borderId="1" applyAlignment="1" pivotButton="0" quotePrefix="0" xfId="18">
      <alignment horizontal="center" vertical="center" wrapText="1"/>
    </xf>
    <xf numFmtId="3" fontId="5" fillId="11" borderId="1" applyAlignment="1" pivotButton="0" quotePrefix="0" xfId="14">
      <alignment horizontal="right" vertical="center" wrapText="1"/>
    </xf>
    <xf numFmtId="164" fontId="2" fillId="5" borderId="1" applyAlignment="1" pivotButton="0" quotePrefix="0" xfId="7">
      <alignment horizontal="center" vertical="center" wrapText="1"/>
    </xf>
    <xf numFmtId="164" fontId="2" fillId="6" borderId="1" applyAlignment="1" pivotButton="0" quotePrefix="0" xfId="8">
      <alignment horizontal="center" vertical="center" wrapText="1"/>
    </xf>
    <xf numFmtId="168" fontId="5" fillId="12" borderId="1" applyAlignment="1" pivotButton="0" quotePrefix="0" xfId="17">
      <alignment horizontal="right" vertical="center" wrapText="1"/>
    </xf>
    <xf numFmtId="167" fontId="5" fillId="11" borderId="1" applyAlignment="1" pivotButton="0" quotePrefix="0" xfId="15">
      <alignment horizontal="center" vertical="center" wrapText="1"/>
    </xf>
    <xf numFmtId="164" fontId="3" fillId="4" borderId="1" applyAlignment="1" pivotButton="0" quotePrefix="0" xfId="4">
      <alignment horizontal="center" vertical="center" wrapText="1"/>
    </xf>
    <xf numFmtId="164" fontId="5" fillId="11" borderId="1" applyAlignment="1" pivotButton="0" quotePrefix="0" xfId="13">
      <alignment horizontal="left" vertical="center" wrapText="1"/>
    </xf>
    <xf numFmtId="164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5" fontId="6" fillId="4" borderId="1" applyAlignment="1" pivotButton="0" quotePrefix="0" xfId="21">
      <alignment horizontal="right" vertical="center" wrapText="1"/>
    </xf>
    <xf numFmtId="168" fontId="5" fillId="11" borderId="1" applyAlignment="1" pivotButton="0" quotePrefix="0" xfId="14">
      <alignment horizontal="right" vertical="center" wrapText="1"/>
    </xf>
    <xf numFmtId="168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vimientos" displayName="Movimientos" ref="A2:J2" headerRowCount="1">
  <autoFilter ref="A2:J2"/>
  <tableColumns count="10">
    <tableColumn id="1" name="Fecha"/>
    <tableColumn id="2" name="Mes"/>
    <tableColumn id="3" name="Anio"/>
    <tableColumn id="4" name="Tipo"/>
    <tableColumn id="5" name="Categoria"/>
    <tableColumn id="6" name="Subcategoria"/>
    <tableColumn id="7" name="Descripcion"/>
    <tableColumn id="8" name="Importe"/>
    <tableColumn id="9" name="Metodo de Pago"/>
    <tableColumn id="10" name="Comentar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RANKING MEJORES MESES</t>
        </is>
      </c>
      <c r="B26" s="10" t="inlineStr">
        <is>
          <t>Ranking de mejores meses. Actualiza con tus datos.</t>
        </is>
      </c>
    </row>
    <row r="27" ht="30" customHeight="1">
      <c r="A27" s="8" t="inlineStr">
        <is>
          <t>LIBERTAD FINANCIERA</t>
        </is>
      </c>
      <c r="B27" s="5" t="inlineStr">
        <is>
          <t>Mide el porcentaje de cobertura de gastos con ingresos de trading.</t>
        </is>
      </c>
    </row>
    <row r="28" ht="30" customHeight="1">
      <c r="A28" s="9" t="inlineStr">
        <is>
          <t>PROYECCIONES FUTURAS</t>
        </is>
      </c>
      <c r="B28" s="10" t="inlineStr">
        <is>
          <t>Proyecciones a 1, 3 y 5 anos basadas en parametros actuales.</t>
        </is>
      </c>
    </row>
    <row r="29" ht="30" customHeight="1">
      <c r="A29" s="8" t="inlineStr">
        <is>
          <t>SCORE DEL TRADER</t>
        </is>
      </c>
      <c r="B29" s="5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Totales (Movimientos)</t>
        </is>
      </c>
      <c r="E6" s="13" t="inlineStr">
        <is>
          <t>Flujo de Caja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SUMIF('REGISTRO DE MOVIMIENTOS'!D3:D1000,"Gasto",'REGISTRO DE MOVIMIENTOS'!H3:H1000)</f>
        <v/>
      </c>
      <c r="E7" s="14">
        <f>'PRESUPUESTO MENSUAL'!$D$3-SUMIF('REGISTRO DE MOVIMIENTOS'!D3:D1000,"Gasto",'REGISTRO DE MOVIMIENTOS'!H3:H1000)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Mes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SUM('DASHBOARD DE TRADING'!C3:C1000)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1575</f>
        <v/>
      </c>
      <c r="E16" s="20">
        <f>C16/'PRESUPUESTO MENSUAL'!$D$3</f>
        <v/>
      </c>
    </row>
    <row r="17">
      <c r="A17" s="10" t="inlineStr">
        <is>
          <t>Bankroll (10%)</t>
        </is>
      </c>
      <c r="C17" s="17">
        <f>'PRESUPUESTO MENSUAL'!$D$3*0.1</f>
        <v/>
      </c>
      <c r="E17" s="18">
        <f>C17/'PRESUPUESTO MENSUAL'!$D$3</f>
        <v/>
      </c>
    </row>
    <row r="18">
      <c r="A18" s="5" t="inlineStr">
        <is>
          <t>Ahorro (10%)</t>
        </is>
      </c>
      <c r="C18" s="19">
        <f>'PRESUPUESTO MENSUAL'!$D$3*0.1</f>
        <v/>
      </c>
      <c r="E18" s="20">
        <f>C18/'PRESUPUESTO MENSUAL'!$D$3</f>
        <v/>
      </c>
    </row>
    <row r="19">
      <c r="A19" s="10" t="inlineStr">
        <is>
          <t>Caprichos (5%)</t>
        </is>
      </c>
      <c r="C19" s="17">
        <f>'PRESUPUESTO MENSUAL'!$D$3*0.05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MENSUAL'!$D$3-1575-'PRESUPUESTO MENSUAL'!$D$3*0.25</f>
        <v/>
      </c>
      <c r="E20" s="22">
        <f>C20/'PRESUPUESTO MENSUAL'!$D$3</f>
        <v/>
      </c>
    </row>
    <row r="22" ht="20" customHeight="1">
      <c r="A22" s="2" t="inlineStr">
        <is>
          <t>NAVEGACION: Usa las pestanas de abajo para acceder a cada seccion del sistema</t>
        </is>
      </c>
    </row>
  </sheetData>
  <mergeCells count="30">
    <mergeCell ref="C6:D6"/>
    <mergeCell ref="I6:J6"/>
    <mergeCell ref="K9:L9"/>
    <mergeCell ref="A3:L3"/>
    <mergeCell ref="A6:B6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E9:F9"/>
    <mergeCell ref="E6:F6"/>
    <mergeCell ref="K6:L6"/>
    <mergeCell ref="A13:L13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Tipo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</sheetData>
  <mergeCells count="1">
    <mergeCell ref="A1:J1"/>
  </mergeCells>
  <dataValidations count="3">
    <dataValidation sqref="D3:D1000" showDropDown="0" showInputMessage="0" showErrorMessage="0" allowBlank="0" type="list">
      <formula1>"Ingreso,Gasto"</formula1>
    </dataValidation>
    <dataValidation sqref="E3:E1000" showDropDown="0" showInputMessage="0" showErrorMessage="0" allowBlank="1" type="list">
      <formula1>"Nomina,Vivienda,Transporte,Salud/Deporte,Formacion,Alimentacion,Restaurantes,Trading,Ahorro,Inversion,Ocio,Suscripciones,Amazon,Compras,Otros"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3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4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5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4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5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(% INGRESO)</t>
        </is>
      </c>
    </row>
    <row r="15">
      <c r="A15" s="7" t="inlineStr">
        <is>
          <t>Concepto</t>
        </is>
      </c>
      <c r="B15" s="7" t="inlineStr">
        <is>
          <t>% Aplicado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Bankroll</t>
        </is>
      </c>
      <c r="B16" s="26" t="n">
        <v>0.1</v>
      </c>
      <c r="C16" s="17">
        <f>$D$3*B16</f>
        <v/>
      </c>
      <c r="D16" s="17">
        <f>$D$3*B16*12</f>
        <v/>
      </c>
      <c r="E16" s="10" t="inlineStr">
        <is>
          <t>10% para capital de trading</t>
        </is>
      </c>
    </row>
    <row r="17">
      <c r="A17" s="8" t="inlineStr">
        <is>
          <t>Ahorro</t>
        </is>
      </c>
      <c r="B17" s="15" t="n">
        <v>0.1</v>
      </c>
      <c r="C17" s="19">
        <f>$D$3*B17</f>
        <v/>
      </c>
      <c r="D17" s="19">
        <f>$D$3*B17*12</f>
        <v/>
      </c>
      <c r="E17" s="5" t="inlineStr">
        <is>
          <t>10% para fondo de ahorro</t>
        </is>
      </c>
    </row>
    <row r="18">
      <c r="A18" s="9" t="inlineStr">
        <is>
          <t>Caprichos</t>
        </is>
      </c>
      <c r="B18" s="26" t="n">
        <v>0.05</v>
      </c>
      <c r="C18" s="17">
        <f>$D$3*B18</f>
        <v/>
      </c>
      <c r="D18" s="17">
        <f>$D$3*B18*12</f>
        <v/>
      </c>
      <c r="E18" s="10" t="inlineStr">
        <is>
          <t>5% para gastos personales</t>
        </is>
      </c>
    </row>
    <row r="20">
      <c r="A20" s="1" t="inlineStr">
        <is>
          <t>RESUMEN Y DISPONIBLE</t>
        </is>
      </c>
    </row>
    <row r="21">
      <c r="A21" s="7" t="inlineStr">
        <is>
          <t>Concepto</t>
        </is>
      </c>
      <c r="C21" s="7" t="inlineStr">
        <is>
          <t>Importe</t>
        </is>
      </c>
    </row>
    <row r="22">
      <c r="A22" s="10" t="inlineStr">
        <is>
          <t>Ingreso neto mensual</t>
        </is>
      </c>
      <c r="C22" s="17">
        <f>$D$3</f>
        <v/>
      </c>
    </row>
    <row r="23">
      <c r="A23" s="5" t="inlineStr">
        <is>
          <t>(-) Total gastos fijos</t>
        </is>
      </c>
      <c r="C23" s="19">
        <f>-C12</f>
        <v/>
      </c>
    </row>
    <row r="24">
      <c r="A24" s="10" t="inlineStr">
        <is>
          <t>(-) Bankroll (10%)</t>
        </is>
      </c>
      <c r="C24" s="17">
        <f>-C16</f>
        <v/>
      </c>
    </row>
    <row r="25">
      <c r="A25" s="5" t="inlineStr">
        <is>
          <t>(-) Ahorro (10%)</t>
        </is>
      </c>
      <c r="C25" s="19">
        <f>-C17</f>
        <v/>
      </c>
    </row>
    <row r="26">
      <c r="A26" s="10" t="inlineStr">
        <is>
          <t>(-) Caprichos (5%)</t>
        </is>
      </c>
      <c r="C26" s="17">
        <f>-C18</f>
        <v/>
      </c>
    </row>
    <row r="27">
      <c r="A27" s="4" t="inlineStr">
        <is>
          <t>DISPONIBLE RESTANTE</t>
        </is>
      </c>
      <c r="C27" s="21">
        <f>SUM(C22:C26)</f>
        <v/>
      </c>
    </row>
    <row r="28">
      <c r="A28" s="4" t="inlineStr">
        <is>
          <t>% Gastado (fijos/ingreso)</t>
        </is>
      </c>
      <c r="C28" s="22">
        <f>C12/$D$3</f>
        <v/>
      </c>
    </row>
    <row r="29">
      <c r="A29" s="4" t="inlineStr">
        <is>
          <t>Desviacion vs presupuesto</t>
        </is>
      </c>
      <c r="C29" s="21">
        <f>$D$3-C12</f>
        <v/>
      </c>
    </row>
    <row r="31">
      <c r="A31" s="1" t="inlineStr">
        <is>
          <t>ESTADO DEL PRESUPUESTO</t>
        </is>
      </c>
    </row>
    <row r="32">
      <c r="A32" s="9" t="inlineStr">
        <is>
          <t>Progreso gastos fijos:</t>
        </is>
      </c>
      <c r="B32" s="10">
        <f>TEXT(C28,"0.0%")&amp;" del ingreso en gastos fijos"</f>
        <v/>
      </c>
    </row>
    <row r="33">
      <c r="A33" s="9" t="inlineStr">
        <is>
          <t>Disponible restante:</t>
        </is>
      </c>
      <c r="B33" s="10">
        <f>TEXT(C27,"#,##0.00")&amp;" EUR disponibles este mes"</f>
        <v/>
      </c>
    </row>
  </sheetData>
  <mergeCells count="7">
    <mergeCell ref="A14:F14"/>
    <mergeCell ref="A1:F1"/>
    <mergeCell ref="A31:F31"/>
    <mergeCell ref="A6:F6"/>
    <mergeCell ref="A3:C3"/>
    <mergeCell ref="A4:F4"/>
    <mergeCell ref="A20:F20"/>
  </mergeCells>
  <conditionalFormatting sqref="C28">
    <cfRule type="cellIs" priority="1" operator="greaterThan" dxfId="0">
      <formula>1</formula>
    </cfRule>
    <cfRule type="cellIs" priority="2" operator="between" dxfId="1">
      <formula>0.9</formula>
      <formula>1</formula>
    </cfRule>
    <cfRule type="cellIs" priority="3" operator="lessThanOrEqual" dxfId="2">
      <formula>0.9</formula>
    </cfRule>
  </conditionalFormatting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</sheetData>
  <mergeCells count="2">
    <mergeCell ref="A6:F6"/>
    <mergeCell ref="A1:F1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3">
      <c r="A3" s="27" t="n">
        <v>46193</v>
      </c>
      <c r="B3" s="24" t="inlineStr">
        <is>
          <t>Junio</t>
        </is>
      </c>
      <c r="C3" s="24" t="n">
        <v>2026</v>
      </c>
      <c r="D3" s="17" t="n">
        <v>200</v>
      </c>
      <c r="E3" s="17" t="n">
        <v>200</v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</sheetData>
  <mergeCells count="2">
    <mergeCell ref="A1:E1"/>
    <mergeCell ref="A5:E5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28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3">
      <formula>0</formula>
    </cfRule>
    <cfRule type="cellIs" priority="2" operator="lessThan" dxfId="4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3">
      <formula>D3="Cobrado"</formula>
    </cfRule>
    <cfRule type="expression" priority="2" dxfId="5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500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2000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200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29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0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3" t="n">
        <v>500</v>
      </c>
    </row>
    <row r="10">
      <c r="A10" s="9" t="inlineStr">
        <is>
          <t>Meses cubiertos actualmente</t>
        </is>
      </c>
      <c r="B10" s="31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 t="n">
        <v>0</v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 t="n">
        <v>0</v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 t="n">
        <v>0</v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 t="n">
        <v>0</v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3">
      <formula>0.75</formula>
    </cfRule>
    <cfRule type="cellIs" priority="2" operator="between" dxfId="5">
      <formula>0.5</formula>
      <formula>0.75</formula>
    </cfRule>
    <cfRule type="cellIs" priority="3" operator="lessThan" dxfId="4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0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3">
      <c r="A3" s="32" t="n">
        <v>46183</v>
      </c>
      <c r="B3" s="25" t="inlineStr">
        <is>
          <t>Junio</t>
        </is>
      </c>
      <c r="C3" s="25" t="inlineStr">
        <is>
          <t>Restaurantes</t>
        </is>
      </c>
      <c r="D3" s="5" t="inlineStr">
        <is>
          <t>Restaurante familiar</t>
        </is>
      </c>
      <c r="E3" s="19" t="n">
        <v>35</v>
      </c>
      <c r="F3" s="20">
        <f>E3/'PRESUPUESTO MENSUAL'!$D$3</f>
        <v/>
      </c>
      <c r="G3" s="25">
        <f>IF(E3/'PRESUPUESTO MENSUAL'!$D$3&gt;0.05,"ALERTA","OK")</f>
        <v/>
      </c>
    </row>
    <row r="4">
      <c r="A4" s="27" t="n">
        <v>46185</v>
      </c>
      <c r="B4" s="24" t="inlineStr">
        <is>
          <t>Junio</t>
        </is>
      </c>
      <c r="C4" s="24" t="inlineStr">
        <is>
          <t>Amazon</t>
        </is>
      </c>
      <c r="D4" s="10" t="inlineStr">
        <is>
          <t>Compra Amazon impulsiva</t>
        </is>
      </c>
      <c r="E4" s="17" t="n">
        <v>28.5</v>
      </c>
      <c r="F4" s="18">
        <f>E4/'PRESUPUESTO MENSUAL'!$D$3</f>
        <v/>
      </c>
      <c r="G4" s="24">
        <f>IF(E4/'PRESUPUESTO MENSUAL'!$D$3&gt;0.05,"ALERTA","OK")</f>
        <v/>
      </c>
    </row>
    <row r="5">
      <c r="A5" s="32" t="n">
        <v>46187</v>
      </c>
      <c r="B5" s="25" t="inlineStr">
        <is>
          <t>Junio</t>
        </is>
      </c>
      <c r="C5" s="25" t="inlineStr">
        <is>
          <t>Ocio</t>
        </is>
      </c>
      <c r="D5" s="5" t="inlineStr">
        <is>
          <t>Cine + palomitas</t>
        </is>
      </c>
      <c r="E5" s="19" t="n">
        <v>18</v>
      </c>
      <c r="F5" s="20">
        <f>E5/'PRESUPUESTO MENSUAL'!$D$3</f>
        <v/>
      </c>
      <c r="G5" s="25">
        <f>IF(E5/'PRESUPUESTO MENSUAL'!$D$3&gt;0.05,"ALERTA","OK")</f>
        <v/>
      </c>
    </row>
    <row r="6">
      <c r="A6" s="27" t="n">
        <v>46191</v>
      </c>
      <c r="B6" s="24" t="inlineStr">
        <is>
          <t>Junio</t>
        </is>
      </c>
      <c r="C6" s="24" t="inlineStr">
        <is>
          <t>Suscripciones</t>
        </is>
      </c>
      <c r="D6" s="10" t="inlineStr">
        <is>
          <t>Netflix</t>
        </is>
      </c>
      <c r="E6" s="17" t="n">
        <v>13.99</v>
      </c>
      <c r="F6" s="18">
        <f>E6/'PRESUPUESTO MENSUAL'!$D$3</f>
        <v/>
      </c>
      <c r="G6" s="24">
        <f>IF(E6/'PRESUPUESTO MENSUAL'!$D$3&gt;0.05,"ALERTA","OK")</f>
        <v/>
      </c>
    </row>
    <row r="7">
      <c r="A7" s="32" t="n">
        <v>46195</v>
      </c>
      <c r="B7" s="25" t="inlineStr">
        <is>
          <t>Junio</t>
        </is>
      </c>
      <c r="C7" s="25" t="inlineStr">
        <is>
          <t>Compras impulsivas</t>
        </is>
      </c>
      <c r="D7" s="5" t="inlineStr">
        <is>
          <t>Ropa</t>
        </is>
      </c>
      <c r="E7" s="19" t="n">
        <v>45</v>
      </c>
      <c r="F7" s="20">
        <f>E7/'PRESUPUESTO MENSUAL'!$D$3</f>
        <v/>
      </c>
      <c r="G7" s="25">
        <f>IF(E7/'PRESUPUESTO MENSUAL'!$D$3&gt;0.05,"ALERTA","OK")</f>
        <v/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4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5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4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5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4" t="inlineStr">
        <is>
          <t>5% limite</t>
        </is>
      </c>
      <c r="E508">
        <f>IF(B508&gt;'PRESUPUESTO MENSUAL'!$D$3*0.05,"EXCEDIDO","OK")</f>
        <v/>
      </c>
    </row>
  </sheetData>
  <mergeCells count="2"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3" t="n">
        <v>0</v>
      </c>
      <c r="D5" s="2" t="inlineStr">
        <is>
          <t>1ro</t>
        </is>
      </c>
      <c r="E5" s="2" t="inlineStr">
        <is>
          <t>-</t>
        </is>
      </c>
      <c r="F5" s="33" t="n">
        <v>0</v>
      </c>
      <c r="G5" s="2" t="inlineStr">
        <is>
          <t>1ro</t>
        </is>
      </c>
      <c r="H5" s="2" t="inlineStr">
        <is>
          <t>-</t>
        </is>
      </c>
      <c r="I5" s="33" t="n">
        <v>0</v>
      </c>
    </row>
    <row r="6">
      <c r="A6" s="5" t="inlineStr">
        <is>
          <t>2do</t>
        </is>
      </c>
      <c r="B6" s="5" t="inlineStr">
        <is>
          <t>-</t>
        </is>
      </c>
      <c r="C6" s="34" t="n">
        <v>0</v>
      </c>
      <c r="D6" s="5" t="inlineStr">
        <is>
          <t>2do</t>
        </is>
      </c>
      <c r="E6" s="5" t="inlineStr">
        <is>
          <t>-</t>
        </is>
      </c>
      <c r="F6" s="34" t="n">
        <v>0</v>
      </c>
      <c r="G6" s="5" t="inlineStr">
        <is>
          <t>2do</t>
        </is>
      </c>
      <c r="H6" s="5" t="inlineStr">
        <is>
          <t>-</t>
        </is>
      </c>
      <c r="I6" s="34" t="n">
        <v>0</v>
      </c>
    </row>
    <row r="7">
      <c r="A7" s="10" t="inlineStr">
        <is>
          <t>3ro</t>
        </is>
      </c>
      <c r="B7" s="10" t="inlineStr">
        <is>
          <t>-</t>
        </is>
      </c>
      <c r="C7" s="35" t="n">
        <v>0</v>
      </c>
      <c r="D7" s="10" t="inlineStr">
        <is>
          <t>3ro</t>
        </is>
      </c>
      <c r="E7" s="10" t="inlineStr">
        <is>
          <t>-</t>
        </is>
      </c>
      <c r="F7" s="35" t="n">
        <v>0</v>
      </c>
      <c r="G7" s="10" t="inlineStr">
        <is>
          <t>3ro</t>
        </is>
      </c>
      <c r="H7" s="10" t="inlineStr">
        <is>
          <t>-</t>
        </is>
      </c>
      <c r="I7" s="35" t="n">
        <v>0</v>
      </c>
    </row>
    <row r="8">
      <c r="A8" s="5" t="inlineStr">
        <is>
          <t>4to</t>
        </is>
      </c>
      <c r="B8" s="5" t="inlineStr">
        <is>
          <t>-</t>
        </is>
      </c>
      <c r="C8" s="34" t="n">
        <v>0</v>
      </c>
      <c r="D8" s="5" t="inlineStr">
        <is>
          <t>4to</t>
        </is>
      </c>
      <c r="E8" s="5" t="inlineStr">
        <is>
          <t>-</t>
        </is>
      </c>
      <c r="F8" s="34" t="n">
        <v>0</v>
      </c>
      <c r="G8" s="5" t="inlineStr">
        <is>
          <t>4to</t>
        </is>
      </c>
      <c r="H8" s="5" t="inlineStr">
        <is>
          <t>-</t>
        </is>
      </c>
      <c r="I8" s="34" t="n">
        <v>0</v>
      </c>
    </row>
    <row r="9">
      <c r="A9" s="10" t="inlineStr">
        <is>
          <t>5to</t>
        </is>
      </c>
      <c r="B9" s="10" t="inlineStr">
        <is>
          <t>-</t>
        </is>
      </c>
      <c r="C9" s="35" t="n">
        <v>0</v>
      </c>
      <c r="D9" s="10" t="inlineStr">
        <is>
          <t>5to</t>
        </is>
      </c>
      <c r="E9" s="10" t="inlineStr">
        <is>
          <t>-</t>
        </is>
      </c>
      <c r="F9" s="35" t="n">
        <v>0</v>
      </c>
      <c r="G9" s="10" t="inlineStr">
        <is>
          <t>5to</t>
        </is>
      </c>
      <c r="H9" s="10" t="inlineStr">
        <is>
          <t>-</t>
        </is>
      </c>
      <c r="I9" s="35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 t="n">
        <v>0</v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36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37" t="inlineStr">
        <is>
          <t>Estado actual:</t>
        </is>
      </c>
      <c r="B9" s="37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3" t="n">
        <v>2000</v>
      </c>
    </row>
    <row r="5">
      <c r="A5" s="9" t="inlineStr">
        <is>
          <t>Tasa de ahorro mensual %</t>
        </is>
      </c>
      <c r="B5" s="38" t="n">
        <v>0.1</v>
      </c>
    </row>
    <row r="6">
      <c r="A6" s="9" t="inlineStr">
        <is>
          <t>Beneficio medio mensual trading</t>
        </is>
      </c>
      <c r="B6" s="23" t="n">
        <v>0</v>
      </c>
    </row>
    <row r="7">
      <c r="A7" s="9" t="inlineStr">
        <is>
          <t>Rentabilidad anual inversion %</t>
        </is>
      </c>
      <c r="B7" s="38" t="n">
        <v>0.05</v>
      </c>
    </row>
    <row r="8">
      <c r="A8" s="9" t="inlineStr">
        <is>
          <t>Aportacion bankroll mensual</t>
        </is>
      </c>
      <c r="B8" s="23" t="n">
        <v>200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$B$4*$B$5*12*1</f>
        <v/>
      </c>
      <c r="C12" s="19">
        <f>$B$8*12*1</f>
        <v/>
      </c>
      <c r="D12" s="19">
        <f>B12+C12</f>
        <v/>
      </c>
      <c r="E12" s="19">
        <f>$B$6*12*1</f>
        <v/>
      </c>
      <c r="F12" s="20">
        <f>IFERROR($B$6/1575,0)</f>
        <v/>
      </c>
    </row>
    <row r="13">
      <c r="A13" s="9" t="inlineStr">
        <is>
          <t>Anio 2</t>
        </is>
      </c>
      <c r="B13" s="17">
        <f>$B$4*$B$5*12*2</f>
        <v/>
      </c>
      <c r="C13" s="17">
        <f>$B$8*12*2</f>
        <v/>
      </c>
      <c r="D13" s="17">
        <f>B13+C13</f>
        <v/>
      </c>
      <c r="E13" s="17">
        <f>$B$6*12*2</f>
        <v/>
      </c>
      <c r="F13" s="18">
        <f>IFERROR($B$6/1575,0)</f>
        <v/>
      </c>
    </row>
    <row r="14">
      <c r="A14" s="8" t="inlineStr">
        <is>
          <t>Anio 3</t>
        </is>
      </c>
      <c r="B14" s="19">
        <f>$B$4*$B$5*12*3</f>
        <v/>
      </c>
      <c r="C14" s="19">
        <f>$B$8*12*3</f>
        <v/>
      </c>
      <c r="D14" s="19">
        <f>B14+C14</f>
        <v/>
      </c>
      <c r="E14" s="19">
        <f>$B$6*12*3</f>
        <v/>
      </c>
      <c r="F14" s="20">
        <f>IFERROR($B$6/1575,0)</f>
        <v/>
      </c>
    </row>
    <row r="15">
      <c r="A15" s="9" t="inlineStr">
        <is>
          <t>Anio 4</t>
        </is>
      </c>
      <c r="B15" s="17">
        <f>$B$4*$B$5*12*4</f>
        <v/>
      </c>
      <c r="C15" s="17">
        <f>$B$8*12*4</f>
        <v/>
      </c>
      <c r="D15" s="17">
        <f>B15+C15</f>
        <v/>
      </c>
      <c r="E15" s="17">
        <f>$B$6*12*4</f>
        <v/>
      </c>
      <c r="F15" s="18">
        <f>IFERROR($B$6/1575,0)</f>
        <v/>
      </c>
    </row>
    <row r="16">
      <c r="A16" s="8" t="inlineStr">
        <is>
          <t>Anio 5</t>
        </is>
      </c>
      <c r="B16" s="19">
        <f>$B$4*$B$5*12*5</f>
        <v/>
      </c>
      <c r="C16" s="19">
        <f>$B$8*12*5</f>
        <v/>
      </c>
      <c r="D16" s="19">
        <f>B16+C16</f>
        <v/>
      </c>
      <c r="E16" s="19">
        <f>$B$6*12*5</f>
        <v/>
      </c>
      <c r="F16" s="20">
        <f>IFERROR($B$6/1575,0)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4" t="inlineStr">
        <is>
          <t>20 pts</t>
        </is>
      </c>
      <c r="C5" s="10" t="inlineStr">
        <is>
          <t>Ahorro actual / objetivo anual</t>
        </is>
      </c>
      <c r="D5" s="31">
        <f>MIN(20,IFERROR('CONTROL DE AHORRO'!B7/('PRESUPUESTO MENSUAL'!$D$3*0.10*12)*20,0))</f>
        <v/>
      </c>
    </row>
    <row r="6">
      <c r="A6" s="8" t="inlineStr">
        <is>
          <t>Cumplimiento Bankroll</t>
        </is>
      </c>
      <c r="B6" s="25" t="inlineStr">
        <is>
          <t>20 pts</t>
        </is>
      </c>
      <c r="C6" s="5" t="inlineStr">
        <is>
          <t>Bankroll actual / objetivo anual</t>
        </is>
      </c>
      <c r="D6" s="39">
        <f>MIN(20,IFERROR('CONTROL DE BANKROLL'!B7/('PRESUPUESTO MENSUAL'!$D$3*0.10*12)*20,0))</f>
        <v/>
      </c>
    </row>
    <row r="7">
      <c r="A7" s="9" t="inlineStr">
        <is>
          <t>Control de Gastos</t>
        </is>
      </c>
      <c r="B7" s="24" t="inlineStr">
        <is>
          <t>20 pts</t>
        </is>
      </c>
      <c r="C7" s="10" t="inlineStr">
        <is>
          <t>Gastos vs ingreso mensual</t>
        </is>
      </c>
      <c r="D7" s="31">
        <f>IFERROR(IF('REGISTRO DE MOVIMIENTOS'!B502&lt;='PRESUPUESTO MENSUAL'!$D$3,20,MAX(0,20-(('REGISTRO DE MOVIMIENTOS'!B502-'PRESUPUESTO MENSUAL'!$D$3)/'PRESUPUESTO MENSUAL'!$D$3)*20)),0)</f>
        <v/>
      </c>
    </row>
    <row r="8">
      <c r="A8" s="8" t="inlineStr">
        <is>
          <t>Crecimiento Patrimonio</t>
        </is>
      </c>
      <c r="B8" s="25" t="inlineStr">
        <is>
          <t>20 pts</t>
        </is>
      </c>
      <c r="C8" s="5" t="inlineStr">
        <is>
          <t>Patrimonio actual / objetivo anual</t>
        </is>
      </c>
      <c r="D8" s="39">
        <f>MIN(20,IFERROR('PATRIMONIO NETO'!B20/5000*20,0))</f>
        <v/>
      </c>
    </row>
    <row r="9">
      <c r="A9" s="9" t="inlineStr">
        <is>
          <t>Resultados Trading</t>
        </is>
      </c>
      <c r="B9" s="24" t="inlineStr">
        <is>
          <t>20 pts</t>
        </is>
      </c>
      <c r="C9" s="10" t="inlineStr">
        <is>
          <t>Benef. trading / objetivo anual</t>
        </is>
      </c>
      <c r="D9" s="31">
        <f>MIN(20,IFERROR('DASHBOARD DE TRADING'!B509/4200*20,0))</f>
        <v/>
      </c>
    </row>
    <row r="10">
      <c r="A10" s="2" t="inlineStr">
        <is>
          <t>SCORE TOTAL DEL TRADER (sobre 100)</t>
        </is>
      </c>
      <c r="D10" s="40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2026-06-07T09:17:52Z</dcterms:created>
  <dcterms:modified xsi:type="dcterms:W3CDTF">2026-06-07T09:17:53Z</dcterms:modified>
</cp:coreProperties>
</file>