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7.xml" ContentType="application/vnd.openxmlformats-officedocument.drawing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IA DE USO" sheetId="1" state="visible" r:id="rId1"/>
    <sheet name="DASHBOARD EJECUTIVO" sheetId="2" state="visible" r:id="rId2"/>
    <sheet name="REGISTRO DE MOVIMIENTOS" sheetId="3" state="visible" r:id="rId3"/>
    <sheet name="PRESUPUESTO MENSUAL" sheetId="4" state="visible" r:id="rId4"/>
    <sheet name="CONTROL DE AHORRO" sheetId="5" state="visible" r:id="rId5"/>
    <sheet name="CONTROL DE BANKROLL" sheetId="6" state="visible" r:id="rId6"/>
    <sheet name="DASHBOARD DE TRADING" sheetId="7" state="visible" r:id="rId7"/>
    <sheet name="CONTROL DE PAYOUTS" sheetId="8" state="visible" r:id="rId8"/>
    <sheet name="PATRIMONIO NETO" sheetId="9" state="visible" r:id="rId9"/>
    <sheet name="FONDO DE EMERGENCIA" sheetId="10" state="visible" r:id="rId10"/>
    <sheet name="OBJETIVOS" sheetId="11" state="visible" r:id="rId11"/>
    <sheet name="GASTOS HORMIGA" sheetId="12" state="visible" r:id="rId12"/>
    <sheet name="RANKING MEJORES MESES" sheetId="13" state="visible" r:id="rId13"/>
    <sheet name="LIBERTAD FINANCIERA" sheetId="14" state="visible" r:id="rId14"/>
    <sheet name="PROYECCIONES FUTURAS" sheetId="15" state="visible" r:id="rId15"/>
    <sheet name="SCORE DEL TRADER" sheetId="16" state="visible" r:id="rId16"/>
    <sheet name="_LISTAS" sheetId="17" state="hidden" r:id="rId17"/>
  </sheets>
  <definedNames>
    <definedName name="ListaCategorias">_LISTAS!$A$1:$A$25</definedName>
    <definedName name="_xlnm.Print_Area" localSheetId="0">'GUIA DE USO'!$A$1:$J$42</definedName>
    <definedName name="_xlnm.Print_Area" localSheetId="1">'DASHBOARD EJECUTIVO'!$A$1:$N$35</definedName>
    <definedName name="_xlnm._FilterDatabase" localSheetId="2" hidden="1">'REGISTRO DE MOVIMIENTOS'!$A$2:$J$2</definedName>
    <definedName name="_xlnm.Print_Area" localSheetId="2">'REGISTRO DE MOVIMIENTOS'!$A$1:$L$305</definedName>
    <definedName name="_xlnm.Print_Area" localSheetId="3">'PRESUPUESTO MENSUAL'!$A$1:$H$61</definedName>
    <definedName name="_xlnm.Print_Area" localSheetId="4">'CONTROL DE AHORRO'!$A$1:$H$19</definedName>
    <definedName name="_xlnm.Print_Area" localSheetId="5">'CONTROL DE BANKROLL'!$A$1:$G$17</definedName>
    <definedName name="_xlnm.Print_Area" localSheetId="6">'DASHBOARD DE TRADING'!$A$1:$G$515</definedName>
    <definedName name="_xlnm.Print_Area" localSheetId="7">'CONTROL DE PAYOUTS'!$A$1:$G$14</definedName>
    <definedName name="_xlnm.Print_Area" localSheetId="8">'PATRIMONIO NETO'!$A$1:$F$28</definedName>
    <definedName name="_xlnm.Print_Area" localSheetId="9">'FONDO DE EMERGENCIA'!$A$1:$F$28</definedName>
    <definedName name="_xlnm.Print_Area" localSheetId="10">'OBJETIVOS'!$A$1:$H$11</definedName>
    <definedName name="_xlnm.Print_Area" localSheetId="11">'GASTOS HORMIGA'!$A$1:$I$531</definedName>
    <definedName name="_xlnm.Print_Area" localSheetId="12">'RANKING MEJORES MESES'!$A$1:$K$17</definedName>
    <definedName name="_xlnm.Print_Area" localSheetId="13">'LIBERTAD FINANCIERA'!$A$1:$F$20</definedName>
    <definedName name="_xlnm.Print_Area" localSheetId="14">'PROYECCIONES FUTURAS'!$A$1:$H$21</definedName>
    <definedName name="_xlnm.Print_Area" localSheetId="15">'SCORE DEL TRADER'!$A$1:$F$22</definedName>
    <definedName name="_xlnm.Print_Area" localSheetId="16">'_LISTAS'!$A$1:$C$30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 €"/>
    <numFmt numFmtId="165" formatCode="0.0%"/>
    <numFmt numFmtId="166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b val="1"/>
      <color rgb="001F2D3D"/>
      <sz val="11"/>
    </font>
    <font>
      <name val="Calibri"/>
      <b val="1"/>
      <color rgb="001F2D3D"/>
      <sz val="10"/>
    </font>
    <font>
      <name val="Calibri"/>
      <color rgb="00212529"/>
      <sz val="10"/>
    </font>
    <font>
      <name val="Calibri"/>
      <b val="1"/>
      <color rgb="001F2D3D"/>
      <sz val="12"/>
    </font>
  </fonts>
  <fills count="13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2C3E50"/>
      </patternFill>
    </fill>
    <fill>
      <patternFill patternType="solid">
        <fgColor rgb="00F5A623"/>
      </patternFill>
    </fill>
    <fill>
      <patternFill patternType="solid">
        <fgColor rgb="0028A745"/>
      </patternFill>
    </fill>
    <fill>
      <patternFill patternType="solid">
        <fgColor rgb="00DC3545"/>
      </patternFill>
    </fill>
    <fill>
      <patternFill patternType="solid">
        <fgColor rgb="0020C997"/>
      </patternFill>
    </fill>
    <fill>
      <patternFill patternType="solid">
        <fgColor rgb="00FD7E14"/>
      </patternFill>
    </fill>
    <fill>
      <patternFill patternType="solid">
        <fgColor rgb="00007BFF"/>
      </patternFill>
    </fill>
    <fill>
      <patternFill patternType="solid">
        <fgColor rgb="00DEE2E6"/>
      </patternFill>
    </fill>
    <fill>
      <patternFill patternType="solid">
        <fgColor rgb="00FFFFFF"/>
      </patternFill>
    </fill>
    <fill>
      <patternFill patternType="solid">
        <fgColor rgb="00F8F9FA"/>
      </patternFill>
    </fill>
  </fills>
  <borders count="2">
    <border>
      <left/>
      <right/>
      <top/>
      <bottom/>
      <diagonal/>
    </border>
    <border>
      <left style="thin">
        <color rgb="00DEE2E6"/>
      </left>
      <right style="thin">
        <color rgb="00DEE2E6"/>
      </right>
      <top style="thin">
        <color rgb="00DEE2E6"/>
      </top>
      <bottom style="thin">
        <color rgb="00DEE2E6"/>
      </bottom>
    </border>
  </borders>
  <cellStyleXfs count="28">
    <xf numFmtId="0" fontId="0" fillId="0" borderId="0"/>
    <xf numFmtId="0" fontId="1" fillId="2" borderId="1" applyAlignment="1">
      <alignment horizontal="center" vertical="center" wrapText="1"/>
    </xf>
    <xf numFmtId="0" fontId="2" fillId="2" borderId="1" applyAlignment="1">
      <alignment horizontal="center" vertical="center" wrapText="1"/>
    </xf>
    <xf numFmtId="0" fontId="1" fillId="3" borderId="1" applyAlignment="1">
      <alignment horizontal="center" vertical="center" wrapText="1"/>
    </xf>
    <xf numFmtId="0" fontId="3" fillId="4" borderId="1" applyAlignment="1">
      <alignment horizontal="center" vertical="center" wrapText="1"/>
    </xf>
    <xf numFmtId="0" fontId="3" fillId="4" borderId="1" applyAlignment="1">
      <alignment horizontal="right" vertical="center" wrapText="1"/>
    </xf>
    <xf numFmtId="0" fontId="4" fillId="4" borderId="1" applyAlignment="1">
      <alignment horizontal="left" vertical="center" wrapText="1"/>
    </xf>
    <xf numFmtId="0" fontId="2" fillId="5" borderId="1" applyAlignment="1">
      <alignment horizontal="center" vertical="center" wrapText="1"/>
    </xf>
    <xf numFmtId="0" fontId="2" fillId="6" borderId="1" applyAlignment="1">
      <alignment horizontal="center" vertical="center" wrapText="1"/>
    </xf>
    <xf numFmtId="0" fontId="2" fillId="7" borderId="1" applyAlignment="1">
      <alignment horizontal="center" vertical="center" wrapText="1"/>
    </xf>
    <xf numFmtId="0" fontId="2" fillId="8" borderId="1" applyAlignment="1">
      <alignment horizontal="center" vertical="center" wrapText="1"/>
    </xf>
    <xf numFmtId="0" fontId="2" fillId="9" borderId="1" applyAlignment="1">
      <alignment horizontal="center" vertical="center" wrapText="1"/>
    </xf>
    <xf numFmtId="0" fontId="4" fillId="10" borderId="1" applyAlignment="1">
      <alignment horizontal="center" vertical="center" wrapText="1"/>
    </xf>
    <xf numFmtId="0" fontId="5" fillId="11" borderId="1" applyAlignment="1">
      <alignment horizontal="left" vertical="center" wrapText="1"/>
    </xf>
    <xf numFmtId="0" fontId="5" fillId="11" borderId="1" applyAlignment="1">
      <alignment horizontal="right" vertical="center" wrapText="1"/>
    </xf>
    <xf numFmtId="0" fontId="5" fillId="11" borderId="1" applyAlignment="1">
      <alignment horizontal="center" vertical="center" wrapText="1"/>
    </xf>
    <xf numFmtId="0" fontId="5" fillId="12" borderId="1" applyAlignment="1">
      <alignment horizontal="left" vertical="center" wrapText="1"/>
    </xf>
    <xf numFmtId="0" fontId="5" fillId="12" borderId="1" applyAlignment="1">
      <alignment horizontal="right" vertical="center" wrapText="1"/>
    </xf>
    <xf numFmtId="0" fontId="5" fillId="12" borderId="1" applyAlignment="1">
      <alignment horizontal="center" vertical="center" wrapText="1"/>
    </xf>
    <xf numFmtId="0" fontId="4" fillId="11" borderId="1" applyAlignment="1">
      <alignment horizontal="left" vertical="center" wrapText="1"/>
    </xf>
    <xf numFmtId="0" fontId="4" fillId="11" borderId="1" applyAlignment="1">
      <alignment horizontal="right" vertical="center" wrapText="1"/>
    </xf>
    <xf numFmtId="0" fontId="6" fillId="4" borderId="1" applyAlignment="1">
      <alignment horizontal="right" vertical="center" wrapText="1"/>
    </xf>
    <xf numFmtId="0" fontId="4" fillId="11" borderId="1" applyAlignment="1">
      <alignment horizontal="left" vertical="center" wrapText="1"/>
    </xf>
    <xf numFmtId="0" fontId="4" fillId="11" borderId="1" applyAlignment="1">
      <alignment horizontal="right" vertical="center" wrapText="1"/>
    </xf>
    <xf numFmtId="0" fontId="4" fillId="11" borderId="1" applyAlignment="1">
      <alignment horizontal="center" vertical="center" wrapText="1"/>
    </xf>
    <xf numFmtId="0" fontId="4" fillId="12" borderId="1" applyAlignment="1">
      <alignment horizontal="left" vertical="center" wrapText="1"/>
    </xf>
    <xf numFmtId="0" fontId="4" fillId="12" borderId="1" applyAlignment="1">
      <alignment horizontal="right" vertical="center" wrapText="1"/>
    </xf>
    <xf numFmtId="0" fontId="4" fillId="12" borderId="1" applyAlignment="1">
      <alignment horizontal="center" vertical="center" wrapText="1"/>
    </xf>
  </cellStyleXfs>
  <cellXfs count="38">
    <xf numFmtId="0" fontId="0" fillId="0" borderId="0" pivotButton="0" quotePrefix="0" xfId="0"/>
    <xf numFmtId="0" fontId="1" fillId="2" borderId="1" applyAlignment="1" pivotButton="0" quotePrefix="0" xfId="1">
      <alignment horizontal="center" vertical="center" wrapText="1"/>
    </xf>
    <xf numFmtId="0" fontId="3" fillId="4" borderId="1" applyAlignment="1" pivotButton="0" quotePrefix="0" xfId="4">
      <alignment horizontal="center" vertical="center" wrapText="1"/>
    </xf>
    <xf numFmtId="0" fontId="1" fillId="3" borderId="1" applyAlignment="1" pivotButton="0" quotePrefix="0" xfId="3">
      <alignment horizontal="center" vertical="center" wrapText="1"/>
    </xf>
    <xf numFmtId="0" fontId="4" fillId="4" borderId="1" applyAlignment="1" pivotButton="0" quotePrefix="0" xfId="6">
      <alignment horizontal="left" vertical="center" wrapText="1"/>
    </xf>
    <xf numFmtId="0" fontId="5" fillId="11" borderId="1" applyAlignment="1" pivotButton="0" quotePrefix="0" xfId="13">
      <alignment horizontal="left" vertical="center" wrapText="1"/>
    </xf>
    <xf numFmtId="0" fontId="4" fillId="11" borderId="1" applyAlignment="1" pivotButton="0" quotePrefix="0" xfId="19">
      <alignment horizontal="left" vertical="center" wrapText="1"/>
    </xf>
    <xf numFmtId="0" fontId="4" fillId="10" borderId="1" applyAlignment="1" pivotButton="0" quotePrefix="0" xfId="12">
      <alignment horizontal="center" vertical="center" wrapText="1"/>
    </xf>
    <xf numFmtId="0" fontId="4" fillId="11" borderId="1" applyAlignment="1" pivotButton="0" quotePrefix="0" xfId="22">
      <alignment horizontal="left" vertical="center" wrapText="1"/>
    </xf>
    <xf numFmtId="0" fontId="4" fillId="12" borderId="1" applyAlignment="1" pivotButton="0" quotePrefix="0" xfId="25">
      <alignment horizontal="left" vertical="center" wrapText="1"/>
    </xf>
    <xf numFmtId="0" fontId="5" fillId="12" borderId="1" applyAlignment="1" pivotButton="0" quotePrefix="0" xfId="16">
      <alignment horizontal="left" vertical="center" wrapText="1"/>
    </xf>
    <xf numFmtId="0" fontId="2" fillId="5" borderId="1" applyAlignment="1" pivotButton="0" quotePrefix="0" xfId="7">
      <alignment horizontal="center" vertical="center" wrapText="1"/>
    </xf>
    <xf numFmtId="0" fontId="2" fillId="6" borderId="1" applyAlignment="1" pivotButton="0" quotePrefix="0" xfId="8">
      <alignment horizontal="center" vertical="center" wrapText="1"/>
    </xf>
    <xf numFmtId="0" fontId="2" fillId="2" borderId="1" applyAlignment="1" pivotButton="0" quotePrefix="0" xfId="2">
      <alignment horizontal="center" vertical="center" wrapText="1"/>
    </xf>
    <xf numFmtId="164" fontId="5" fillId="11" borderId="1" applyAlignment="1" pivotButton="0" quotePrefix="0" xfId="15">
      <alignment horizontal="center" vertical="center" wrapText="1"/>
    </xf>
    <xf numFmtId="165" fontId="5" fillId="11" borderId="1" applyAlignment="1" pivotButton="0" quotePrefix="0" xfId="15">
      <alignment horizontal="center" vertical="center" wrapText="1"/>
    </xf>
    <xf numFmtId="166" fontId="5" fillId="11" borderId="1" applyAlignment="1" pivotButton="0" quotePrefix="0" xfId="15">
      <alignment horizontal="center" vertical="center" wrapText="1"/>
    </xf>
    <xf numFmtId="164" fontId="5" fillId="12" borderId="1" applyAlignment="1" pivotButton="0" quotePrefix="0" xfId="17">
      <alignment horizontal="right" vertical="center" wrapText="1"/>
    </xf>
    <xf numFmtId="165" fontId="5" fillId="12" borderId="1" applyAlignment="1" pivotButton="0" quotePrefix="0" xfId="17">
      <alignment horizontal="right" vertical="center" wrapText="1"/>
    </xf>
    <xf numFmtId="164" fontId="5" fillId="11" borderId="1" applyAlignment="1" pivotButton="0" quotePrefix="0" xfId="14">
      <alignment horizontal="right" vertical="center" wrapText="1"/>
    </xf>
    <xf numFmtId="165" fontId="5" fillId="11" borderId="1" applyAlignment="1" pivotButton="0" quotePrefix="0" xfId="14">
      <alignment horizontal="right" vertical="center" wrapText="1"/>
    </xf>
    <xf numFmtId="164" fontId="3" fillId="4" borderId="1" applyAlignment="1" pivotButton="0" quotePrefix="0" xfId="5">
      <alignment horizontal="right" vertical="center" wrapText="1"/>
    </xf>
    <xf numFmtId="165" fontId="3" fillId="4" borderId="1" applyAlignment="1" pivotButton="0" quotePrefix="0" xfId="5">
      <alignment horizontal="right" vertical="center" wrapText="1"/>
    </xf>
    <xf numFmtId="0" fontId="5" fillId="11" borderId="1" applyAlignment="1" pivotButton="0" quotePrefix="0" xfId="15">
      <alignment horizontal="center" vertical="center" wrapText="1"/>
    </xf>
    <xf numFmtId="0" fontId="5" fillId="12" borderId="1" applyAlignment="1" pivotButton="0" quotePrefix="0" xfId="18">
      <alignment horizontal="center" vertical="center" wrapText="1"/>
    </xf>
    <xf numFmtId="164" fontId="6" fillId="4" borderId="1" applyAlignment="1" pivotButton="0" quotePrefix="0" xfId="21">
      <alignment horizontal="right" vertical="center" wrapText="1"/>
    </xf>
    <xf numFmtId="165" fontId="6" fillId="4" borderId="1" applyAlignment="1" pivotButton="0" quotePrefix="0" xfId="21">
      <alignment horizontal="right" vertical="center" wrapText="1"/>
    </xf>
    <xf numFmtId="3" fontId="5" fillId="11" borderId="1" applyAlignment="1" pivotButton="0" quotePrefix="0" xfId="14">
      <alignment horizontal="right" vertical="center" wrapText="1"/>
    </xf>
    <xf numFmtId="164" fontId="2" fillId="5" borderId="1" applyAlignment="1" pivotButton="0" quotePrefix="0" xfId="7">
      <alignment horizontal="center" vertical="center" wrapText="1"/>
    </xf>
    <xf numFmtId="164" fontId="2" fillId="6" borderId="1" applyAlignment="1" pivotButton="0" quotePrefix="0" xfId="8">
      <alignment horizontal="center" vertical="center" wrapText="1"/>
    </xf>
    <xf numFmtId="166" fontId="5" fillId="12" borderId="1" applyAlignment="1" pivotButton="0" quotePrefix="0" xfId="17">
      <alignment horizontal="right" vertical="center" wrapText="1"/>
    </xf>
    <xf numFmtId="164" fontId="3" fillId="4" borderId="1" applyAlignment="1" pivotButton="0" quotePrefix="0" xfId="4">
      <alignment horizontal="center" vertical="center" wrapText="1"/>
    </xf>
    <xf numFmtId="164" fontId="5" fillId="11" borderId="1" applyAlignment="1" pivotButton="0" quotePrefix="0" xfId="13">
      <alignment horizontal="left" vertical="center" wrapText="1"/>
    </xf>
    <xf numFmtId="164" fontId="5" fillId="12" borderId="1" applyAlignment="1" pivotButton="0" quotePrefix="0" xfId="16">
      <alignment horizontal="left" vertical="center" wrapText="1"/>
    </xf>
    <xf numFmtId="3" fontId="5" fillId="12" borderId="1" applyAlignment="1" pivotButton="0" quotePrefix="0" xfId="17">
      <alignment horizontal="right" vertical="center" wrapText="1"/>
    </xf>
    <xf numFmtId="0" fontId="2" fillId="7" borderId="1" applyAlignment="1" pivotButton="0" quotePrefix="0" xfId="9">
      <alignment horizontal="center" vertical="center" wrapText="1"/>
    </xf>
    <xf numFmtId="166" fontId="5" fillId="11" borderId="1" applyAlignment="1" pivotButton="0" quotePrefix="0" xfId="14">
      <alignment horizontal="right" vertical="center" wrapText="1"/>
    </xf>
    <xf numFmtId="166" fontId="3" fillId="4" borderId="1" applyAlignment="1" pivotButton="0" quotePrefix="0" xfId="5">
      <alignment horizontal="right" vertical="center" wrapText="1"/>
    </xf>
  </cellXfs>
  <cellStyles count="28">
    <cellStyle name="Normal" xfId="0" builtinId="0" hidden="0"/>
    <cellStyle name="header" xfId="1" hidden="0"/>
    <cellStyle name="header_sm" xfId="2" hidden="0"/>
    <cellStyle name="subheader" xfId="3" hidden="0"/>
    <cellStyle name="gold" xfId="4" hidden="0"/>
    <cellStyle name="gold_r" xfId="5" hidden="0"/>
    <cellStyle name="gold_l" xfId="6" hidden="0"/>
    <cellStyle name="green" xfId="7" hidden="0"/>
    <cellStyle name="red" xfId="8" hidden="0"/>
    <cellStyle name="teal" xfId="9" hidden="0"/>
    <cellStyle name="orange" xfId="10" hidden="0"/>
    <cellStyle name="blue" xfId="11" hidden="0"/>
    <cellStyle name="col_hdr" xfId="12" hidden="0"/>
    <cellStyle name="data_l" xfId="13" hidden="0"/>
    <cellStyle name="data_r" xfId="14" hidden="0"/>
    <cellStyle name="data_c" xfId="15" hidden="0"/>
    <cellStyle name="alt_l" xfId="16" hidden="0"/>
    <cellStyle name="alt_r" xfId="17" hidden="0"/>
    <cellStyle name="alt_c" xfId="18" hidden="0"/>
    <cellStyle name="bold_l" xfId="19" hidden="0"/>
    <cellStyle name="bold_r" xfId="20" hidden="0"/>
    <cellStyle name="input" xfId="21" hidden="0"/>
    <cellStyle name="bdata_l" xfId="22" hidden="0"/>
    <cellStyle name="bdata_r" xfId="23" hidden="0"/>
    <cellStyle name="bdata_c" xfId="24" hidden="0"/>
    <cellStyle name="balt_l" xfId="25" hidden="0"/>
    <cellStyle name="balt_r" xfId="26" hidden="0"/>
    <cellStyle name="balt_c" xfId="27" hidden="0"/>
  </cellStyles>
  <dxfs count="6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DC3545"/>
        </patternFill>
      </fill>
    </dxf>
    <dxf>
      <fill>
        <patternFill patternType="solid">
          <fgColor rgb="00FFC107"/>
        </patternFill>
      </fill>
    </dxf>
    <dxf>
      <fill>
        <patternFill patternType="solid">
          <fgColor rgb="0028A745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Evolucion del Ahorro Acumulado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DE AHORRO'!E2</f>
            </strRef>
          </tx>
          <spPr>
            <a:ln w="25000">
              <a:solidFill>
                <a:srgbClr val="20C99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DE AHORRO'!$E$3:$E$12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Evolucion del Bankroll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DE BANKROLL'!E2</f>
            </strRef>
          </tx>
          <spPr>
            <a:ln>
              <a:prstDash val="solid"/>
            </a:ln>
          </spPr>
          <val>
            <numRef>
              <f>'CONTROL DE BANKROLL'!$E$3:$E$12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Resultados Trading (EUR)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 DE TRADING'!C2</f>
            </strRef>
          </tx>
          <spPr>
            <a:ln>
              <a:prstDash val="solid"/>
            </a:ln>
          </spPr>
          <val>
            <numRef>
              <f>'DASHBOARD DE TRADING'!$C$3:$C$12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Operacion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Payouts por Mes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DE PAYOUTS'!C2</f>
            </strRef>
          </tx>
          <spPr>
            <a:ln>
              <a:prstDash val="solid"/>
            </a:ln>
          </spPr>
          <val>
            <numRef>
              <f>'CONTROL DE PAYOUTS'!$C$3:$C$12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Evolucion del Patrimonio Neto</a:t>
            </a:r>
          </a:p>
        </rich>
      </tx>
    </title>
    <plotArea>
      <areaChart>
        <grouping val="standard"/>
        <ser>
          <idx val="0"/>
          <order val="0"/>
          <tx>
            <strRef>
              <f>'PATRIMONIO NETO'!D23</f>
            </strRef>
          </tx>
          <spPr>
            <a:ln>
              <a:prstDash val="solid"/>
            </a:ln>
          </spPr>
          <val>
            <numRef>
              <f>'PATRIMONIO NETO'!$D$24:$D$29</f>
            </numRef>
          </val>
        </ser>
        <axId val="10"/>
        <axId val="100"/>
      </area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Distribucion Gastos Hormiga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'GASTOS HORMIGA'!$A$504:$A$508</f>
            </numRef>
          </cat>
          <val>
            <numRef>
              <f>'GASTOS HORMIGA'!$B$504:$B$508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Proyeccion Patrimonial a 5 Anos</a:t>
            </a:r>
          </a:p>
        </rich>
      </tx>
    </title>
    <plotArea>
      <lineChart>
        <grouping val="standard"/>
        <ser>
          <idx val="0"/>
          <order val="0"/>
          <tx>
            <strRef>
              <f>'PROYECCIONES FUTURAS'!B11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'PROYECCIONES FUTURAS'!$B$12:$B$16</f>
            </numRef>
          </val>
        </ser>
        <ser>
          <idx val="1"/>
          <order val="1"/>
          <tx>
            <strRef>
              <f>'PROYECCIONES FUTURAS'!C11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'PROYECCIONES FUTURAS'!$C$12:$C$16</f>
            </numRef>
          </val>
        </ser>
        <ser>
          <idx val="2"/>
          <order val="2"/>
          <tx>
            <strRef>
              <f>'PROYECCIONES FUTURAS'!D11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'PROYECCIONES FUTURAS'!$D$12:$D$16</f>
            </numRef>
          </val>
        </ser>
        <ser>
          <idx val="3"/>
          <order val="3"/>
          <tx>
            <strRef>
              <f>'PROYECCIONES FUTURAS'!E11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'PROYECCIONES FUTURAS'!$E$12:$E$16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Anio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Sistema</author>
  </authors>
  <commentList>
    <comment ref="D3" authorId="0" shapeId="0">
      <text>
        <t>Cambia este valor cada mes. Todo el sistema se actualiza automaticamente.</t>
      </text>
    </comment>
    <comment ref="B17" authorId="0" shapeId="0">
      <text>
        <t>Importe fijo minimo para bankroll. Aumentalo en meses buenos.</t>
      </text>
    </comment>
    <comment ref="B18" authorId="0" shapeId="0">
      <text>
        <t>Importe fijo minimo para ahorro. Aumentalo en meses buenos.</t>
      </text>
    </comment>
    <comment ref="B19" authorId="0" shapeId="0">
      <text>
        <t>Porcentaje del sobrante real (despues de fijos + bankroll + ahorro).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tabColor rgb="00F5A623"/>
    <outlinePr summaryBelow="1" summaryRight="1"/>
    <pageSetUpPr fitToPage="1"/>
  </sheetPr>
  <dimension ref="A1:H3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80" customWidth="1" min="2" max="2"/>
  </cols>
  <sheetData>
    <row r="1" ht="35" customHeight="1">
      <c r="A1" s="1" t="inlineStr">
        <is>
          <t>GUIA DE USO - SISTEMA FINANCIERO PERSONAL</t>
        </is>
      </c>
    </row>
    <row r="2" ht="22" customHeight="1">
      <c r="A2" s="2" t="inlineStr">
        <is>
          <t>Sistema para el control integral de finanzas personales y profesionales | Inicio: Junio 2026</t>
        </is>
      </c>
    </row>
    <row r="4" ht="25" customHeight="1">
      <c r="A4" s="3" t="inlineStr">
        <is>
          <t>COMO CAMBIAR EL INGRESO MENSUAL</t>
        </is>
      </c>
    </row>
    <row r="5" ht="25" customHeight="1">
      <c r="A5" s="4" t="inlineStr">
        <is>
          <t>PASO 1: Ve a la pestana 'PRESUPUESTO MENSUAL' (tercera pestana del libro)</t>
        </is>
      </c>
    </row>
    <row r="6" ht="25" customHeight="1">
      <c r="A6" s="4" t="inlineStr">
        <is>
          <t>PASO 2: Localiza la celda D3 — tiene fondo AMARILLO/DORADO y letra grande</t>
        </is>
      </c>
    </row>
    <row r="7" ht="25" customHeight="1">
      <c r="A7" s="4" t="inlineStr">
        <is>
          <t>PASO 3: Haz doble clic en D3 y escribe tu nuevo ingreso neto mensual</t>
        </is>
      </c>
    </row>
    <row r="8" ht="25" customHeight="1">
      <c r="A8" s="4" t="inlineStr">
        <is>
          <t>PASO 4: Pulsa ENTER — todo el sistema se actualiza automaticamente</t>
        </is>
      </c>
    </row>
    <row r="9" ht="25" customHeight="1">
      <c r="A9" s="5" t="inlineStr"/>
    </row>
    <row r="10" ht="25" customHeight="1">
      <c r="A10" s="6" t="inlineStr">
        <is>
          <t>NOTA IMPORTANTE: La celda D3 de PRESUPUESTO MENSUAL es el unico valor que debes</t>
        </is>
      </c>
    </row>
    <row r="11" ht="25" customHeight="1">
      <c r="A11" s="5" t="inlineStr">
        <is>
          <t>cambiar cada mes. Todos los calculos del sistema usan ese valor como referencia.</t>
        </is>
      </c>
    </row>
    <row r="13" ht="25" customHeight="1">
      <c r="A13" s="3" t="inlineStr">
        <is>
          <t>DESCRIPCION DE LAS HOJAS DEL SISTEMA</t>
        </is>
      </c>
    </row>
    <row r="14" ht="20" customHeight="1">
      <c r="A14" s="7" t="inlineStr">
        <is>
          <t>Hoja</t>
        </is>
      </c>
      <c r="B14" s="7" t="inlineStr">
        <is>
          <t>Descripcion y uso</t>
        </is>
      </c>
    </row>
    <row r="15" ht="30" customHeight="1">
      <c r="A15" s="8" t="inlineStr">
        <is>
          <t>DASHBOARD EJECUTIVO</t>
        </is>
      </c>
      <c r="B15" s="5" t="inlineStr">
        <is>
          <t>Panel principal con todos los KPIs financieros.</t>
        </is>
      </c>
    </row>
    <row r="16" ht="30" customHeight="1">
      <c r="A16" s="9" t="inlineStr">
        <is>
          <t>REGISTRO DE MOVIMIENTOS</t>
        </is>
      </c>
      <c r="B16" s="10" t="inlineStr">
        <is>
          <t>Registra TODOS tus ingresos y gastos. Es la hoja mas importante.</t>
        </is>
      </c>
    </row>
    <row r="17" ht="30" customHeight="1">
      <c r="A17" s="8" t="inlineStr">
        <is>
          <t>PRESUPUESTO MENSUAL</t>
        </is>
      </c>
      <c r="B17" s="5" t="inlineStr">
        <is>
          <t>Define tu presupuesto. Introduce el ingreso en D3 (celda dorada).</t>
        </is>
      </c>
    </row>
    <row r="18" ht="30" customHeight="1">
      <c r="A18" s="9" t="inlineStr">
        <is>
          <t>CONTROL DE AHORRO</t>
        </is>
      </c>
      <c r="B18" s="10" t="inlineStr">
        <is>
          <t>Registra aportaciones al ahorro mensual.</t>
        </is>
      </c>
    </row>
    <row r="19" ht="30" customHeight="1">
      <c r="A19" s="8" t="inlineStr">
        <is>
          <t>CONTROL DE BANKROLL</t>
        </is>
      </c>
      <c r="B19" s="5" t="inlineStr">
        <is>
          <t>Registra aportaciones al bankroll de trading (10% del ingreso).</t>
        </is>
      </c>
    </row>
    <row r="20" ht="30" customHeight="1">
      <c r="A20" s="9" t="inlineStr">
        <is>
          <t>DASHBOARD DE TRADING</t>
        </is>
      </c>
      <c r="B20" s="10" t="inlineStr">
        <is>
          <t>Registra resultados de trading. Calcula ROI y evolucion.</t>
        </is>
      </c>
    </row>
    <row r="21" ht="30" customHeight="1">
      <c r="A21" s="8" t="inlineStr">
        <is>
          <t>CONTROL DE PAYOUTS</t>
        </is>
      </c>
      <c r="B21" s="5" t="inlineStr">
        <is>
          <t>Registra pagos recibidos de plataformas de trading.</t>
        </is>
      </c>
    </row>
    <row r="22" ht="30" customHeight="1">
      <c r="A22" s="9" t="inlineStr">
        <is>
          <t>PATRIMONIO NETO</t>
        </is>
      </c>
      <c r="B22" s="10" t="inlineStr">
        <is>
          <t>Calcula tu patrimonio neto (Activos - Pasivos).</t>
        </is>
      </c>
    </row>
    <row r="23" ht="30" customHeight="1">
      <c r="A23" s="8" t="inlineStr">
        <is>
          <t>FONDO DE EMERGENCIA</t>
        </is>
      </c>
      <c r="B23" s="5" t="inlineStr">
        <is>
          <t>Controla el progreso hacia tu fondo de emergencia.</t>
        </is>
      </c>
    </row>
    <row r="24" ht="30" customHeight="1">
      <c r="A24" s="9" t="inlineStr">
        <is>
          <t>OBJETIVOS</t>
        </is>
      </c>
      <c r="B24" s="10" t="inlineStr">
        <is>
          <t>Define y sigue el progreso de tus objetivos financieros anuales.</t>
        </is>
      </c>
    </row>
    <row r="25" ht="30" customHeight="1">
      <c r="A25" s="8" t="inlineStr">
        <is>
          <t>GASTOS HORMIGA</t>
        </is>
      </c>
      <c r="B25" s="5" t="inlineStr">
        <is>
          <t>Registra gastos pequenos recurrentes. Detecta fugas de dinero.</t>
        </is>
      </c>
    </row>
    <row r="26" ht="30" customHeight="1">
      <c r="A26" s="9" t="inlineStr">
        <is>
          <t>RANKING MEJORES MESES</t>
        </is>
      </c>
      <c r="B26" s="10" t="inlineStr">
        <is>
          <t>Ranking de mejores meses. Actualiza con tus datos.</t>
        </is>
      </c>
    </row>
    <row r="27" ht="30" customHeight="1">
      <c r="A27" s="8" t="inlineStr">
        <is>
          <t>LIBERTAD FINANCIERA</t>
        </is>
      </c>
      <c r="B27" s="5" t="inlineStr">
        <is>
          <t>Mide el porcentaje de cobertura de gastos con ingresos de trading.</t>
        </is>
      </c>
    </row>
    <row r="28" ht="30" customHeight="1">
      <c r="A28" s="9" t="inlineStr">
        <is>
          <t>PROYECCIONES FUTURAS</t>
        </is>
      </c>
      <c r="B28" s="10" t="inlineStr">
        <is>
          <t>Proyecciones a 1, 3 y 5 anos basadas en parametros actuales.</t>
        </is>
      </c>
    </row>
    <row r="29" ht="30" customHeight="1">
      <c r="A29" s="8" t="inlineStr">
        <is>
          <t>SCORE DEL TRADER</t>
        </is>
      </c>
      <c r="B29" s="5" t="inlineStr">
        <is>
          <t>Puntuacion 0-100 que evalua tu desempeno financiero.</t>
        </is>
      </c>
    </row>
    <row r="31" ht="22" customHeight="1">
      <c r="A31" s="3" t="inlineStr">
        <is>
          <t>LEYENDA DE COLORES</t>
        </is>
      </c>
    </row>
    <row r="32" ht="20" customHeight="1">
      <c r="A32" s="11" t="inlineStr">
        <is>
          <t>VERDE: Indicador positivo / objetivo cumplido / dentro de presupuesto</t>
        </is>
      </c>
    </row>
    <row r="33" ht="20" customHeight="1">
      <c r="A33" s="2" t="inlineStr">
        <is>
          <t>DORADO: Subtitulos, totales y valores destacados (tambien la celda de ingreso D3)</t>
        </is>
      </c>
    </row>
    <row r="34" ht="20" customHeight="1">
      <c r="A34" s="12" t="inlineStr">
        <is>
          <t>ROJO: Alerta / presupuesto excedido / objetivo no alcanzado</t>
        </is>
      </c>
    </row>
    <row r="35" ht="20" customHeight="1">
      <c r="A35" s="1" t="inlineStr">
        <is>
          <t>AZUL OSCURO: Cabeceras de tablas y secciones principales</t>
        </is>
      </c>
    </row>
    <row r="36" ht="20" customHeight="1">
      <c r="A36" s="7" t="inlineStr">
        <is>
          <t>GRIS: Cabeceras de columnas</t>
        </is>
      </c>
    </row>
    <row r="37" ht="20" customHeight="1">
      <c r="A37" s="10" t="inlineStr">
        <is>
          <t>GRIS CLARO: Filas alternas para mejor legibilidad</t>
        </is>
      </c>
    </row>
  </sheetData>
  <mergeCells count="18">
    <mergeCell ref="A1:H1"/>
    <mergeCell ref="A4:H4"/>
    <mergeCell ref="A9:H9"/>
    <mergeCell ref="A35:H35"/>
    <mergeCell ref="A7:H7"/>
    <mergeCell ref="A31:H31"/>
    <mergeCell ref="A2:H2"/>
    <mergeCell ref="A10:H10"/>
    <mergeCell ref="A13:H13"/>
    <mergeCell ref="A11:H11"/>
    <mergeCell ref="A33:H33"/>
    <mergeCell ref="A36:H36"/>
    <mergeCell ref="A5:H5"/>
    <mergeCell ref="A37:H37"/>
    <mergeCell ref="A32:H32"/>
    <mergeCell ref="A8:H8"/>
    <mergeCell ref="A6:H6"/>
    <mergeCell ref="A34:H34"/>
  </mergeCell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1F2D3D"/>
    <outlinePr summaryBelow="1" summaryRight="1"/>
    <pageSetUpPr fitToPage="1"/>
  </sheetPr>
  <dimension ref="A1:L3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40" customHeight="1">
      <c r="A1" s="1" t="inlineStr">
        <is>
          <t>DASHBOARD EJECUTIVO - SISTEMA FINANCIERO PERSONAL 2026</t>
        </is>
      </c>
    </row>
    <row r="2" ht="20" customHeight="1">
      <c r="A2" s="3" t="inlineStr">
        <is>
          <t>Sistema de control financiero integral | Inicio: Junio 2026 | Referencia: 2.000 EUR/mes</t>
        </is>
      </c>
    </row>
    <row r="3" ht="22" customHeight="1">
      <c r="A3" s="2" t="inlineStr">
        <is>
          <t>INGRESO MENSUAL: Para cambiar el ingreso ve a la hoja 'PRESUPUESTO MENSUAL' y edita la celda D3 (dorada)</t>
        </is>
      </c>
    </row>
    <row r="5" ht="22" customHeight="1">
      <c r="A5" s="3" t="inlineStr">
        <is>
          <t>KPIs PRINCIPALES - JUNIO 2026</t>
        </is>
      </c>
    </row>
    <row r="6" ht="18" customHeight="1">
      <c r="A6" s="13" t="inlineStr">
        <is>
          <t>Ingreso del Mes (D3 PRESUPUESTO)</t>
        </is>
      </c>
      <c r="C6" s="13" t="inlineStr">
        <is>
          <t>Gastos Reales (mes actual)</t>
        </is>
      </c>
      <c r="E6" s="13" t="inlineStr">
        <is>
          <t>Flujo de Caja (mes actual)</t>
        </is>
      </c>
      <c r="G6" s="13" t="inlineStr">
        <is>
          <t>Ahorro Mensual</t>
        </is>
      </c>
      <c r="I6" s="13" t="inlineStr">
        <is>
          <t>Ahorro Acumulado</t>
        </is>
      </c>
      <c r="K6" s="13" t="inlineStr">
        <is>
          <t>Bankroll Capital</t>
        </is>
      </c>
    </row>
    <row r="7" ht="28" customHeight="1">
      <c r="A7" s="14">
        <f>'PRESUPUESTO MENSUAL'!$D$3</f>
        <v/>
      </c>
      <c r="C7" s="14">
        <f>SUMPRODUCT((ISNUMBER('REGISTRO DE MOVIMIENTOS'!$A$3:$A$500))*(MONTH(IF(ISNUMBER('REGISTRO DE MOVIMIENTOS'!$A$3:$A$500),'REGISTRO DE MOVIMIENTOS'!$A$3:$A$500,TODAY()))=MONTH(TODAY()))*(YEAR(IF(ISNUMBER('REGISTRO DE MOVIMIENTOS'!$A$3:$A$500),'REGISTRO DE MOVIMIENTOS'!$A$3:$A$500,TODAY()))=YEAR(TODAY()))*('REGISTRO DE MOVIMIENTOS'!$D$3:$D$500="Gasto")*('REGISTRO DE MOVIMIENTOS'!$H$3:$H$500))</f>
        <v/>
      </c>
      <c r="E7" s="14">
        <f>'PRESUPUESTO MENSUAL'!$D$3-(SUMPRODUCT((ISNUMBER('REGISTRO DE MOVIMIENTOS'!$A$3:$A$500))*(MONTH(IF(ISNUMBER('REGISTRO DE MOVIMIENTOS'!$A$3:$A$500),'REGISTRO DE MOVIMIENTOS'!$A$3:$A$500,TODAY()))=MONTH(TODAY()))*(YEAR(IF(ISNUMBER('REGISTRO DE MOVIMIENTOS'!$A$3:$A$500),'REGISTRO DE MOVIMIENTOS'!$A$3:$A$500,TODAY()))=YEAR(TODAY()))*('REGISTRO DE MOVIMIENTOS'!$D$3:$D$500="Gasto")*('REGISTRO DE MOVIMIENTOS'!$H$3:$H$500)))</f>
        <v/>
      </c>
      <c r="G7" s="14">
        <f>'CONTROL DE AHORRO'!D3</f>
        <v/>
      </c>
      <c r="I7" s="14">
        <f>MAX('CONTROL DE AHORRO'!E3:E1000)</f>
        <v/>
      </c>
      <c r="K7" s="14">
        <f>MAX('CONTROL DE BANKROLL'!E3:E1000)</f>
        <v/>
      </c>
    </row>
    <row r="8" ht="12" customHeight="1"/>
    <row r="9" ht="18" customHeight="1">
      <c r="A9" s="13" t="inlineStr">
        <is>
          <t>Benef. Trading (mes actual)</t>
        </is>
      </c>
      <c r="C9" s="13" t="inlineStr">
        <is>
          <t>Payouts Cobrados</t>
        </is>
      </c>
      <c r="E9" s="13" t="inlineStr">
        <is>
          <t>Patrimonio Neto</t>
        </is>
      </c>
      <c r="G9" s="13" t="inlineStr">
        <is>
          <t>ROI Trading %</t>
        </is>
      </c>
      <c r="I9" s="13" t="inlineStr">
        <is>
          <t>Score Financiero /100</t>
        </is>
      </c>
      <c r="K9" s="13" t="inlineStr">
        <is>
          <t>Libertad Financiera %</t>
        </is>
      </c>
    </row>
    <row r="10" ht="28" customHeight="1">
      <c r="A10" s="14">
        <f>SUMPRODUCT((ISNUMBER('DASHBOARD DE TRADING'!A3:A500))*(MONTH(IF(ISNUMBER('DASHBOARD DE TRADING'!A3:A500),'DASHBOARD DE TRADING'!A3:A500,TODAY()))=MONTH(TODAY()))*(YEAR(IF(ISNUMBER('DASHBOARD DE TRADING'!A3:A500),'DASHBOARD DE TRADING'!A3:A500,TODAY()))=YEAR(TODAY()))*('DASHBOARD DE TRADING'!C3:C500))</f>
        <v/>
      </c>
      <c r="C10" s="14">
        <f>SUMIF('CONTROL DE PAYOUTS'!D3:D1000,"Cobrado",'CONTROL DE PAYOUTS'!C3:C1000)</f>
        <v/>
      </c>
      <c r="E10" s="14">
        <f>'PATRIMONIO NETO'!B20</f>
        <v/>
      </c>
      <c r="G10" s="15">
        <f>IFERROR(SUM('DASHBOARD DE TRADING'!C3:C1000)/MAX('CONTROL DE BANKROLL'!E3:E1000),0)</f>
        <v/>
      </c>
      <c r="I10" s="16">
        <f>'SCORE DEL TRADER'!D10</f>
        <v/>
      </c>
      <c r="K10" s="15">
        <f>'LIBERTAD FINANCIERA'!B5</f>
        <v/>
      </c>
    </row>
    <row r="11" ht="12" customHeight="1"/>
    <row r="13" ht="22" customHeight="1">
      <c r="A13" s="3" t="inlineStr">
        <is>
          <t>RESUMEN PRESUPUESTARIO MENSUAL</t>
        </is>
      </c>
    </row>
    <row r="14">
      <c r="A14" s="7" t="inlineStr">
        <is>
          <t>Concepto</t>
        </is>
      </c>
      <c r="C14" s="7" t="inlineStr">
        <is>
          <t>Importe</t>
        </is>
      </c>
      <c r="E14" s="7" t="inlineStr">
        <is>
          <t>% Ingreso</t>
        </is>
      </c>
    </row>
    <row r="15">
      <c r="A15" s="10" t="inlineStr">
        <is>
          <t>Ingreso Neto (PRESUPUESTO MENSUAL D3)</t>
        </is>
      </c>
      <c r="C15" s="17">
        <f>'PRESUPUESTO MENSUAL'!$D$3</f>
        <v/>
      </c>
      <c r="E15" s="18">
        <f>C15/'PRESUPUESTO MENSUAL'!$D$3</f>
        <v/>
      </c>
    </row>
    <row r="16">
      <c r="A16" s="5" t="inlineStr">
        <is>
          <t>Gastos Fijos</t>
        </is>
      </c>
      <c r="C16" s="19">
        <f>'PRESUPUESTO MENSUAL'!$C$12</f>
        <v/>
      </c>
      <c r="E16" s="20">
        <f>C16/'PRESUPUESTO MENSUAL'!$D$3</f>
        <v/>
      </c>
    </row>
    <row r="17">
      <c r="A17" s="10" t="inlineStr">
        <is>
          <t>Bankroll (fijo)</t>
        </is>
      </c>
      <c r="C17" s="17">
        <f>'PRESUPUESTO MENSUAL'!$C$17</f>
        <v/>
      </c>
      <c r="E17" s="18">
        <f>C17/'PRESUPUESTO MENSUAL'!$D$3</f>
        <v/>
      </c>
    </row>
    <row r="18">
      <c r="A18" s="5" t="inlineStr">
        <is>
          <t>Ahorro (fijo)</t>
        </is>
      </c>
      <c r="C18" s="19">
        <f>'PRESUPUESTO MENSUAL'!$C$18</f>
        <v/>
      </c>
      <c r="E18" s="20">
        <f>C18/'PRESUPUESTO MENSUAL'!$D$3</f>
        <v/>
      </c>
    </row>
    <row r="19">
      <c r="A19" s="10" t="inlineStr">
        <is>
          <t>Caprichos</t>
        </is>
      </c>
      <c r="C19" s="17">
        <f>'PRESUPUESTO MENSUAL'!$C$19</f>
        <v/>
      </c>
      <c r="E19" s="18">
        <f>C19/'PRESUPUESTO MENSUAL'!$D$3</f>
        <v/>
      </c>
    </row>
    <row r="20">
      <c r="A20" s="4" t="inlineStr">
        <is>
          <t>DISPONIBLE</t>
        </is>
      </c>
      <c r="C20" s="21">
        <f>'PRESUPUESTO MENSUAL'!$C$28</f>
        <v/>
      </c>
      <c r="E20" s="22">
        <f>C20/'PRESUPUESTO MENSUAL'!$D$3</f>
        <v/>
      </c>
    </row>
    <row r="22" ht="22" customHeight="1">
      <c r="A22" s="3" t="inlineStr">
        <is>
          <t>GASTOS POR CATEGORIA DEL MES ACTUAL (desde REGISTRO)</t>
        </is>
      </c>
    </row>
    <row r="23" ht="18" customHeight="1">
      <c r="A23" s="13" t="inlineStr">
        <is>
          <t>Vivienda/Alquiler</t>
        </is>
      </c>
      <c r="C23" s="13" t="inlineStr">
        <is>
          <t>Coche/Transporte</t>
        </is>
      </c>
      <c r="E23" s="13" t="inlineStr">
        <is>
          <t>Gasolina</t>
        </is>
      </c>
      <c r="G23" s="13" t="inlineStr">
        <is>
          <t>Supermercado</t>
        </is>
      </c>
      <c r="I23" s="13" t="inlineStr">
        <is>
          <t>Restaurante</t>
        </is>
      </c>
      <c r="K23" s="13" t="inlineStr">
        <is>
          <t>Cafeteria/Bar</t>
        </is>
      </c>
    </row>
    <row r="24" ht="28" customHeight="1">
      <c r="A24" s="14">
        <f>SUMPRODUCT((ISNUMBER('REGISTRO DE MOVIMIENTOS'!$A$3:$A$500))*(MONTH(IF(ISNUMBER('REGISTRO DE MOVIMIENTOS'!$A$3:$A$500),'REGISTRO DE MOVIMIENTOS'!$A$3:$A$500,TODAY()))=MONTH(TODAY()))*(YEAR(IF(ISNUMBER('REGISTRO DE MOVIMIENTOS'!$A$3:$A$500),'REGISTRO DE MOVIMIENTOS'!$A$3:$A$500,TODAY()))=YEAR(TODAY()))*('REGISTRO DE MOVIMIENTOS'!$D$3:$D$500="Gasto")*('REGISTRO DE MOVIMIENTOS'!$E$3:$E$500="Vivienda/Alquiler")*('REGISTRO DE MOVIMIENTOS'!$H$3:$H$500))</f>
        <v/>
      </c>
      <c r="C24" s="14">
        <f>SUMPRODUCT((ISNUMBER('REGISTRO DE MOVIMIENTOS'!$A$3:$A$500))*(MONTH(IF(ISNUMBER('REGISTRO DE MOVIMIENTOS'!$A$3:$A$500),'REGISTRO DE MOVIMIENTOS'!$A$3:$A$500,TODAY()))=MONTH(TODAY()))*(YEAR(IF(ISNUMBER('REGISTRO DE MOVIMIENTOS'!$A$3:$A$500),'REGISTRO DE MOVIMIENTOS'!$A$3:$A$500,TODAY()))=YEAR(TODAY()))*('REGISTRO DE MOVIMIENTOS'!$D$3:$D$500="Gasto")*('REGISTRO DE MOVIMIENTOS'!$E$3:$E$500="Coche/Transporte")*('REGISTRO DE MOVIMIENTOS'!$H$3:$H$500))</f>
        <v/>
      </c>
      <c r="E24" s="14">
        <f>SUMPRODUCT((ISNUMBER('REGISTRO DE MOVIMIENTOS'!$A$3:$A$500))*(MONTH(IF(ISNUMBER('REGISTRO DE MOVIMIENTOS'!$A$3:$A$500),'REGISTRO DE MOVIMIENTOS'!$A$3:$A$500,TODAY()))=MONTH(TODAY()))*(YEAR(IF(ISNUMBER('REGISTRO DE MOVIMIENTOS'!$A$3:$A$500),'REGISTRO DE MOVIMIENTOS'!$A$3:$A$500,TODAY()))=YEAR(TODAY()))*('REGISTRO DE MOVIMIENTOS'!$D$3:$D$500="Gasto")*('REGISTRO DE MOVIMIENTOS'!$E$3:$E$500="Gasolina")*('REGISTRO DE MOVIMIENTOS'!$H$3:$H$500))</f>
        <v/>
      </c>
      <c r="G24" s="14">
        <f>SUMPRODUCT((ISNUMBER('REGISTRO DE MOVIMIENTOS'!$A$3:$A$500))*(MONTH(IF(ISNUMBER('REGISTRO DE MOVIMIENTOS'!$A$3:$A$500),'REGISTRO DE MOVIMIENTOS'!$A$3:$A$500,TODAY()))=MONTH(TODAY()))*(YEAR(IF(ISNUMBER('REGISTRO DE MOVIMIENTOS'!$A$3:$A$500),'REGISTRO DE MOVIMIENTOS'!$A$3:$A$500,TODAY()))=YEAR(TODAY()))*('REGISTRO DE MOVIMIENTOS'!$D$3:$D$500="Gasto")*('REGISTRO DE MOVIMIENTOS'!$E$3:$E$500="Supermercado")*('REGISTRO DE MOVIMIENTOS'!$H$3:$H$500))</f>
        <v/>
      </c>
      <c r="I24" s="14">
        <f>SUMPRODUCT((ISNUMBER('REGISTRO DE MOVIMIENTOS'!$A$3:$A$500))*(MONTH(IF(ISNUMBER('REGISTRO DE MOVIMIENTOS'!$A$3:$A$500),'REGISTRO DE MOVIMIENTOS'!$A$3:$A$500,TODAY()))=MONTH(TODAY()))*(YEAR(IF(ISNUMBER('REGISTRO DE MOVIMIENTOS'!$A$3:$A$500),'REGISTRO DE MOVIMIENTOS'!$A$3:$A$500,TODAY()))=YEAR(TODAY()))*('REGISTRO DE MOVIMIENTOS'!$D$3:$D$500="Gasto")*('REGISTRO DE MOVIMIENTOS'!$E$3:$E$500="Restaurante")*('REGISTRO DE MOVIMIENTOS'!$H$3:$H$500))</f>
        <v/>
      </c>
      <c r="K24" s="14">
        <f>SUMPRODUCT((ISNUMBER('REGISTRO DE MOVIMIENTOS'!$A$3:$A$500))*(MONTH(IF(ISNUMBER('REGISTRO DE MOVIMIENTOS'!$A$3:$A$500),'REGISTRO DE MOVIMIENTOS'!$A$3:$A$500,TODAY()))=MONTH(TODAY()))*(YEAR(IF(ISNUMBER('REGISTRO DE MOVIMIENTOS'!$A$3:$A$500),'REGISTRO DE MOVIMIENTOS'!$A$3:$A$500,TODAY()))=YEAR(TODAY()))*('REGISTRO DE MOVIMIENTOS'!$D$3:$D$500="Gasto")*('REGISTRO DE MOVIMIENTOS'!$E$3:$E$500="Cafeteria/Bar")*('REGISTRO DE MOVIMIENTOS'!$H$3:$H$500))</f>
        <v/>
      </c>
    </row>
    <row r="25" ht="12" customHeight="1"/>
    <row r="26" ht="18" customHeight="1">
      <c r="A26" s="13" t="inlineStr">
        <is>
          <t>Ocio/Entretenimiento</t>
        </is>
      </c>
      <c r="C26" s="13" t="inlineStr">
        <is>
          <t>Ropa/Calzado</t>
        </is>
      </c>
      <c r="E26" s="13" t="inlineStr">
        <is>
          <t>Farmacia/Salud</t>
        </is>
      </c>
      <c r="G26" s="13" t="inlineStr">
        <is>
          <t>Formacion/Suscripciones</t>
        </is>
      </c>
      <c r="I26" s="13" t="inlineStr">
        <is>
          <t>Ahorro</t>
        </is>
      </c>
      <c r="K26" s="13" t="inlineStr">
        <is>
          <t>Bankroll</t>
        </is>
      </c>
    </row>
    <row r="27" ht="28" customHeight="1">
      <c r="A27" s="14">
        <f>SUMPRODUCT((ISNUMBER('REGISTRO DE MOVIMIENTOS'!$A$3:$A$500))*(MONTH(IF(ISNUMBER('REGISTRO DE MOVIMIENTOS'!$A$3:$A$500),'REGISTRO DE MOVIMIENTOS'!$A$3:$A$500,TODAY()))=MONTH(TODAY()))*(YEAR(IF(ISNUMBER('REGISTRO DE MOVIMIENTOS'!$A$3:$A$500),'REGISTRO DE MOVIMIENTOS'!$A$3:$A$500,TODAY()))=YEAR(TODAY()))*('REGISTRO DE MOVIMIENTOS'!$D$3:$D$500="Gasto")*('REGISTRO DE MOVIMIENTOS'!$E$3:$E$500="Ocio/Entretenimiento")*('REGISTRO DE MOVIMIENTOS'!$H$3:$H$500))</f>
        <v/>
      </c>
      <c r="C27" s="14">
        <f>SUMPRODUCT((ISNUMBER('REGISTRO DE MOVIMIENTOS'!$A$3:$A$500))*(MONTH(IF(ISNUMBER('REGISTRO DE MOVIMIENTOS'!$A$3:$A$500),'REGISTRO DE MOVIMIENTOS'!$A$3:$A$500,TODAY()))=MONTH(TODAY()))*(YEAR(IF(ISNUMBER('REGISTRO DE MOVIMIENTOS'!$A$3:$A$500),'REGISTRO DE MOVIMIENTOS'!$A$3:$A$500,TODAY()))=YEAR(TODAY()))*('REGISTRO DE MOVIMIENTOS'!$D$3:$D$500="Gasto")*('REGISTRO DE MOVIMIENTOS'!$E$3:$E$500="Ropa/Calzado")*('REGISTRO DE MOVIMIENTOS'!$H$3:$H$500))</f>
        <v/>
      </c>
      <c r="E27" s="14">
        <f>SUMPRODUCT((ISNUMBER('REGISTRO DE MOVIMIENTOS'!$A$3:$A$500))*(MONTH(IF(ISNUMBER('REGISTRO DE MOVIMIENTOS'!$A$3:$A$500),'REGISTRO DE MOVIMIENTOS'!$A$3:$A$500,TODAY()))=MONTH(TODAY()))*(YEAR(IF(ISNUMBER('REGISTRO DE MOVIMIENTOS'!$A$3:$A$500),'REGISTRO DE MOVIMIENTOS'!$A$3:$A$500,TODAY()))=YEAR(TODAY()))*('REGISTRO DE MOVIMIENTOS'!$D$3:$D$500="Gasto")*('REGISTRO DE MOVIMIENTOS'!$E$3:$E$500="Farmacia/Salud")*('REGISTRO DE MOVIMIENTOS'!$H$3:$H$500))</f>
        <v/>
      </c>
      <c r="G27" s="14">
        <f>SUMPRODUCT((ISNUMBER('REGISTRO DE MOVIMIENTOS'!$A$3:$A$500))*(MONTH(IF(ISNUMBER('REGISTRO DE MOVIMIENTOS'!$A$3:$A$500),'REGISTRO DE MOVIMIENTOS'!$A$3:$A$500,TODAY()))=MONTH(TODAY()))*(YEAR(IF(ISNUMBER('REGISTRO DE MOVIMIENTOS'!$A$3:$A$500),'REGISTRO DE MOVIMIENTOS'!$A$3:$A$500,TODAY()))=YEAR(TODAY()))*('REGISTRO DE MOVIMIENTOS'!$D$3:$D$500="Gasto")*('REGISTRO DE MOVIMIENTOS'!$E$3:$E$500="Formacion/Suscripciones")*('REGISTRO DE MOVIMIENTOS'!$H$3:$H$500))</f>
        <v/>
      </c>
      <c r="I27" s="14">
        <f>SUMPRODUCT((ISNUMBER('REGISTRO DE MOVIMIENTOS'!$A$3:$A$500))*(MONTH(IF(ISNUMBER('REGISTRO DE MOVIMIENTOS'!$A$3:$A$500),'REGISTRO DE MOVIMIENTOS'!$A$3:$A$500,TODAY()))=MONTH(TODAY()))*(YEAR(IF(ISNUMBER('REGISTRO DE MOVIMIENTOS'!$A$3:$A$500),'REGISTRO DE MOVIMIENTOS'!$A$3:$A$500,TODAY()))=YEAR(TODAY()))*('REGISTRO DE MOVIMIENTOS'!$D$3:$D$500="Gasto")*('REGISTRO DE MOVIMIENTOS'!$E$3:$E$500="Ahorro")*('REGISTRO DE MOVIMIENTOS'!$H$3:$H$500))</f>
        <v/>
      </c>
      <c r="K27" s="14">
        <f>SUMPRODUCT((ISNUMBER('REGISTRO DE MOVIMIENTOS'!$A$3:$A$500))*(MONTH(IF(ISNUMBER('REGISTRO DE MOVIMIENTOS'!$A$3:$A$500),'REGISTRO DE MOVIMIENTOS'!$A$3:$A$500,TODAY()))=MONTH(TODAY()))*(YEAR(IF(ISNUMBER('REGISTRO DE MOVIMIENTOS'!$A$3:$A$500),'REGISTRO DE MOVIMIENTOS'!$A$3:$A$500,TODAY()))=YEAR(TODAY()))*('REGISTRO DE MOVIMIENTOS'!$D$3:$D$500="Gasto")*('REGISTRO DE MOVIMIENTOS'!$E$3:$E$500="Bankroll")*('REGISTRO DE MOVIMIENTOS'!$H$3:$H$500))</f>
        <v/>
      </c>
    </row>
    <row r="28" ht="12" customHeight="1"/>
    <row r="30" ht="20" customHeight="1">
      <c r="A30" s="2" t="inlineStr">
        <is>
          <t>NAVEGACION: Usa las pestanas de abajo para acceder a cada seccion del sistema</t>
        </is>
      </c>
    </row>
  </sheetData>
  <mergeCells count="55">
    <mergeCell ref="K27:L28"/>
    <mergeCell ref="C6:D6"/>
    <mergeCell ref="I6:J6"/>
    <mergeCell ref="G24:H25"/>
    <mergeCell ref="I24:J25"/>
    <mergeCell ref="K9:L9"/>
    <mergeCell ref="E23:F23"/>
    <mergeCell ref="E27:F28"/>
    <mergeCell ref="G23:H23"/>
    <mergeCell ref="A3:L3"/>
    <mergeCell ref="C26:D26"/>
    <mergeCell ref="I26:J26"/>
    <mergeCell ref="A6:B6"/>
    <mergeCell ref="K26:L26"/>
    <mergeCell ref="C27:D28"/>
    <mergeCell ref="A2:L2"/>
    <mergeCell ref="K7:L8"/>
    <mergeCell ref="C7:D8"/>
    <mergeCell ref="E7:F8"/>
    <mergeCell ref="A5:L5"/>
    <mergeCell ref="I10:J11"/>
    <mergeCell ref="A10:B11"/>
    <mergeCell ref="K10:L11"/>
    <mergeCell ref="A22:L22"/>
    <mergeCell ref="G6:H6"/>
    <mergeCell ref="C9:D9"/>
    <mergeCell ref="A27:B28"/>
    <mergeCell ref="E9:F9"/>
    <mergeCell ref="G27:H28"/>
    <mergeCell ref="A26:B26"/>
    <mergeCell ref="E6:F6"/>
    <mergeCell ref="C24:D25"/>
    <mergeCell ref="E24:F25"/>
    <mergeCell ref="K24:L25"/>
    <mergeCell ref="K6:L6"/>
    <mergeCell ref="A13:L13"/>
    <mergeCell ref="I23:J23"/>
    <mergeCell ref="I27:J28"/>
    <mergeCell ref="A23:B23"/>
    <mergeCell ref="K23:L23"/>
    <mergeCell ref="E26:F26"/>
    <mergeCell ref="C23:D23"/>
    <mergeCell ref="G26:H26"/>
    <mergeCell ref="A24:B25"/>
    <mergeCell ref="A30:L30"/>
    <mergeCell ref="G7:H8"/>
    <mergeCell ref="I7:J8"/>
    <mergeCell ref="C10:D11"/>
    <mergeCell ref="A7:B8"/>
    <mergeCell ref="E10:F11"/>
    <mergeCell ref="A1:L1"/>
    <mergeCell ref="G10:H11"/>
    <mergeCell ref="A9:B9"/>
    <mergeCell ref="G9:H9"/>
    <mergeCell ref="I9:J9"/>
  </mergeCell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J300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6" customWidth="1" min="3" max="3"/>
    <col width="10" customWidth="1" min="4" max="4"/>
    <col width="18" customWidth="1" min="5" max="5"/>
    <col width="18" customWidth="1" min="6" max="6"/>
    <col width="35" customWidth="1" min="7" max="7"/>
    <col width="14" customWidth="1" min="8" max="8"/>
    <col width="18" customWidth="1" min="9" max="9"/>
    <col width="30" customWidth="1" min="10" max="10"/>
  </cols>
  <sheetData>
    <row r="1" ht="30" customHeight="1">
      <c r="A1" s="1" t="inlineStr">
        <is>
          <t>REGISTRO DE MOVIMIENTOS - SISTEMA FINANCIERO 2026</t>
        </is>
      </c>
    </row>
    <row r="2" ht="20" customHeight="1">
      <c r="A2" s="7" t="inlineStr">
        <is>
          <t>Fecha</t>
        </is>
      </c>
      <c r="B2" s="7" t="inlineStr">
        <is>
          <t>Mes (auto)</t>
        </is>
      </c>
      <c r="C2" s="7" t="inlineStr">
        <is>
          <t>Anio (auto)</t>
        </is>
      </c>
      <c r="D2" s="7" t="inlineStr">
        <is>
          <t>Tipo</t>
        </is>
      </c>
      <c r="E2" s="7" t="inlineStr">
        <is>
          <t>Categoria</t>
        </is>
      </c>
      <c r="F2" s="7" t="inlineStr">
        <is>
          <t>Subcategoria</t>
        </is>
      </c>
      <c r="G2" s="7" t="inlineStr">
        <is>
          <t>Descripcion</t>
        </is>
      </c>
      <c r="H2" s="7" t="inlineStr">
        <is>
          <t>Importe</t>
        </is>
      </c>
      <c r="I2" s="7" t="inlineStr">
        <is>
          <t>Metodo de Pago</t>
        </is>
      </c>
      <c r="J2" s="7" t="inlineStr">
        <is>
          <t>Comentarios</t>
        </is>
      </c>
    </row>
    <row r="3">
      <c r="B3" s="23">
        <f>IF(A3="","",TEXT(A3,"MMMM"))</f>
        <v/>
      </c>
      <c r="C3" s="23">
        <f>IF(A3="","",YEAR(A3))</f>
        <v/>
      </c>
    </row>
    <row r="4">
      <c r="B4" s="24">
        <f>IF(A4="","",TEXT(A4,"MMMM"))</f>
        <v/>
      </c>
      <c r="C4" s="24">
        <f>IF(A4="","",YEAR(A4))</f>
        <v/>
      </c>
    </row>
    <row r="5">
      <c r="B5" s="23">
        <f>IF(A5="","",TEXT(A5,"MMMM"))</f>
        <v/>
      </c>
      <c r="C5" s="23">
        <f>IF(A5="","",YEAR(A5))</f>
        <v/>
      </c>
    </row>
    <row r="6">
      <c r="B6" s="24">
        <f>IF(A6="","",TEXT(A6,"MMMM"))</f>
        <v/>
      </c>
      <c r="C6" s="24">
        <f>IF(A6="","",YEAR(A6))</f>
        <v/>
      </c>
    </row>
    <row r="7">
      <c r="B7" s="23">
        <f>IF(A7="","",TEXT(A7,"MMMM"))</f>
        <v/>
      </c>
      <c r="C7" s="23">
        <f>IF(A7="","",YEAR(A7))</f>
        <v/>
      </c>
    </row>
    <row r="8">
      <c r="B8" s="24">
        <f>IF(A8="","",TEXT(A8,"MMMM"))</f>
        <v/>
      </c>
      <c r="C8" s="24">
        <f>IF(A8="","",YEAR(A8))</f>
        <v/>
      </c>
    </row>
    <row r="9">
      <c r="B9" s="23">
        <f>IF(A9="","",TEXT(A9,"MMMM"))</f>
        <v/>
      </c>
      <c r="C9" s="23">
        <f>IF(A9="","",YEAR(A9))</f>
        <v/>
      </c>
    </row>
    <row r="10">
      <c r="B10" s="24">
        <f>IF(A10="","",TEXT(A10,"MMMM"))</f>
        <v/>
      </c>
      <c r="C10" s="24">
        <f>IF(A10="","",YEAR(A10))</f>
        <v/>
      </c>
    </row>
    <row r="11">
      <c r="B11" s="23">
        <f>IF(A11="","",TEXT(A11,"MMMM"))</f>
        <v/>
      </c>
      <c r="C11" s="23">
        <f>IF(A11="","",YEAR(A11))</f>
        <v/>
      </c>
    </row>
    <row r="12">
      <c r="B12" s="24">
        <f>IF(A12="","",TEXT(A12,"MMMM"))</f>
        <v/>
      </c>
      <c r="C12" s="24">
        <f>IF(A12="","",YEAR(A12))</f>
        <v/>
      </c>
    </row>
    <row r="13">
      <c r="B13" s="23">
        <f>IF(A13="","",TEXT(A13,"MMMM"))</f>
        <v/>
      </c>
      <c r="C13" s="23">
        <f>IF(A13="","",YEAR(A13))</f>
        <v/>
      </c>
    </row>
    <row r="14">
      <c r="B14" s="24">
        <f>IF(A14="","",TEXT(A14,"MMMM"))</f>
        <v/>
      </c>
      <c r="C14" s="24">
        <f>IF(A14="","",YEAR(A14))</f>
        <v/>
      </c>
    </row>
    <row r="15">
      <c r="B15" s="23">
        <f>IF(A15="","",TEXT(A15,"MMMM"))</f>
        <v/>
      </c>
      <c r="C15" s="23">
        <f>IF(A15="","",YEAR(A15))</f>
        <v/>
      </c>
    </row>
    <row r="16">
      <c r="B16" s="24">
        <f>IF(A16="","",TEXT(A16,"MMMM"))</f>
        <v/>
      </c>
      <c r="C16" s="24">
        <f>IF(A16="","",YEAR(A16))</f>
        <v/>
      </c>
    </row>
    <row r="17">
      <c r="B17" s="23">
        <f>IF(A17="","",TEXT(A17,"MMMM"))</f>
        <v/>
      </c>
      <c r="C17" s="23">
        <f>IF(A17="","",YEAR(A17))</f>
        <v/>
      </c>
    </row>
    <row r="18">
      <c r="B18" s="24">
        <f>IF(A18="","",TEXT(A18,"MMMM"))</f>
        <v/>
      </c>
      <c r="C18" s="24">
        <f>IF(A18="","",YEAR(A18))</f>
        <v/>
      </c>
    </row>
    <row r="19">
      <c r="B19" s="23">
        <f>IF(A19="","",TEXT(A19,"MMMM"))</f>
        <v/>
      </c>
      <c r="C19" s="23">
        <f>IF(A19="","",YEAR(A19))</f>
        <v/>
      </c>
    </row>
    <row r="20">
      <c r="B20" s="24">
        <f>IF(A20="","",TEXT(A20,"MMMM"))</f>
        <v/>
      </c>
      <c r="C20" s="24">
        <f>IF(A20="","",YEAR(A20))</f>
        <v/>
      </c>
    </row>
    <row r="21">
      <c r="B21" s="23">
        <f>IF(A21="","",TEXT(A21,"MMMM"))</f>
        <v/>
      </c>
      <c r="C21" s="23">
        <f>IF(A21="","",YEAR(A21))</f>
        <v/>
      </c>
    </row>
    <row r="22">
      <c r="B22" s="24">
        <f>IF(A22="","",TEXT(A22,"MMMM"))</f>
        <v/>
      </c>
      <c r="C22" s="24">
        <f>IF(A22="","",YEAR(A22))</f>
        <v/>
      </c>
    </row>
    <row r="23">
      <c r="B23" s="23">
        <f>IF(A23="","",TEXT(A23,"MMMM"))</f>
        <v/>
      </c>
      <c r="C23" s="23">
        <f>IF(A23="","",YEAR(A23))</f>
        <v/>
      </c>
    </row>
    <row r="24">
      <c r="B24" s="24">
        <f>IF(A24="","",TEXT(A24,"MMMM"))</f>
        <v/>
      </c>
      <c r="C24" s="24">
        <f>IF(A24="","",YEAR(A24))</f>
        <v/>
      </c>
    </row>
    <row r="25">
      <c r="B25" s="23">
        <f>IF(A25="","",TEXT(A25,"MMMM"))</f>
        <v/>
      </c>
      <c r="C25" s="23">
        <f>IF(A25="","",YEAR(A25))</f>
        <v/>
      </c>
    </row>
    <row r="26">
      <c r="B26" s="24">
        <f>IF(A26="","",TEXT(A26,"MMMM"))</f>
        <v/>
      </c>
      <c r="C26" s="24">
        <f>IF(A26="","",YEAR(A26))</f>
        <v/>
      </c>
    </row>
    <row r="27">
      <c r="B27" s="23">
        <f>IF(A27="","",TEXT(A27,"MMMM"))</f>
        <v/>
      </c>
      <c r="C27" s="23">
        <f>IF(A27="","",YEAR(A27))</f>
        <v/>
      </c>
    </row>
    <row r="28">
      <c r="B28" s="24">
        <f>IF(A28="","",TEXT(A28,"MMMM"))</f>
        <v/>
      </c>
      <c r="C28" s="24">
        <f>IF(A28="","",YEAR(A28))</f>
        <v/>
      </c>
    </row>
    <row r="29">
      <c r="B29" s="23">
        <f>IF(A29="","",TEXT(A29,"MMMM"))</f>
        <v/>
      </c>
      <c r="C29" s="23">
        <f>IF(A29="","",YEAR(A29))</f>
        <v/>
      </c>
    </row>
    <row r="30">
      <c r="B30" s="24">
        <f>IF(A30="","",TEXT(A30,"MMMM"))</f>
        <v/>
      </c>
      <c r="C30" s="24">
        <f>IF(A30="","",YEAR(A30))</f>
        <v/>
      </c>
    </row>
    <row r="31">
      <c r="B31" s="23">
        <f>IF(A31="","",TEXT(A31,"MMMM"))</f>
        <v/>
      </c>
      <c r="C31" s="23">
        <f>IF(A31="","",YEAR(A31))</f>
        <v/>
      </c>
    </row>
    <row r="32">
      <c r="B32" s="24">
        <f>IF(A32="","",TEXT(A32,"MMMM"))</f>
        <v/>
      </c>
      <c r="C32" s="24">
        <f>IF(A32="","",YEAR(A32))</f>
        <v/>
      </c>
    </row>
    <row r="33">
      <c r="B33" s="23">
        <f>IF(A33="","",TEXT(A33,"MMMM"))</f>
        <v/>
      </c>
      <c r="C33" s="23">
        <f>IF(A33="","",YEAR(A33))</f>
        <v/>
      </c>
    </row>
    <row r="34">
      <c r="B34" s="24">
        <f>IF(A34="","",TEXT(A34,"MMMM"))</f>
        <v/>
      </c>
      <c r="C34" s="24">
        <f>IF(A34="","",YEAR(A34))</f>
        <v/>
      </c>
    </row>
    <row r="35">
      <c r="B35" s="23">
        <f>IF(A35="","",TEXT(A35,"MMMM"))</f>
        <v/>
      </c>
      <c r="C35" s="23">
        <f>IF(A35="","",YEAR(A35))</f>
        <v/>
      </c>
    </row>
    <row r="36">
      <c r="B36" s="24">
        <f>IF(A36="","",TEXT(A36,"MMMM"))</f>
        <v/>
      </c>
      <c r="C36" s="24">
        <f>IF(A36="","",YEAR(A36))</f>
        <v/>
      </c>
    </row>
    <row r="37">
      <c r="B37" s="23">
        <f>IF(A37="","",TEXT(A37,"MMMM"))</f>
        <v/>
      </c>
      <c r="C37" s="23">
        <f>IF(A37="","",YEAR(A37))</f>
        <v/>
      </c>
    </row>
    <row r="38">
      <c r="B38" s="24">
        <f>IF(A38="","",TEXT(A38,"MMMM"))</f>
        <v/>
      </c>
      <c r="C38" s="24">
        <f>IF(A38="","",YEAR(A38))</f>
        <v/>
      </c>
    </row>
    <row r="39">
      <c r="B39" s="23">
        <f>IF(A39="","",TEXT(A39,"MMMM"))</f>
        <v/>
      </c>
      <c r="C39" s="23">
        <f>IF(A39="","",YEAR(A39))</f>
        <v/>
      </c>
    </row>
    <row r="40">
      <c r="B40" s="24">
        <f>IF(A40="","",TEXT(A40,"MMMM"))</f>
        <v/>
      </c>
      <c r="C40" s="24">
        <f>IF(A40="","",YEAR(A40))</f>
        <v/>
      </c>
    </row>
    <row r="41">
      <c r="B41" s="23">
        <f>IF(A41="","",TEXT(A41,"MMMM"))</f>
        <v/>
      </c>
      <c r="C41" s="23">
        <f>IF(A41="","",YEAR(A41))</f>
        <v/>
      </c>
    </row>
    <row r="42">
      <c r="B42" s="24">
        <f>IF(A42="","",TEXT(A42,"MMMM"))</f>
        <v/>
      </c>
      <c r="C42" s="24">
        <f>IF(A42="","",YEAR(A42))</f>
        <v/>
      </c>
    </row>
    <row r="43">
      <c r="B43" s="23">
        <f>IF(A43="","",TEXT(A43,"MMMM"))</f>
        <v/>
      </c>
      <c r="C43" s="23">
        <f>IF(A43="","",YEAR(A43))</f>
        <v/>
      </c>
    </row>
    <row r="44">
      <c r="B44" s="24">
        <f>IF(A44="","",TEXT(A44,"MMMM"))</f>
        <v/>
      </c>
      <c r="C44" s="24">
        <f>IF(A44="","",YEAR(A44))</f>
        <v/>
      </c>
    </row>
    <row r="45">
      <c r="B45" s="23">
        <f>IF(A45="","",TEXT(A45,"MMMM"))</f>
        <v/>
      </c>
      <c r="C45" s="23">
        <f>IF(A45="","",YEAR(A45))</f>
        <v/>
      </c>
    </row>
    <row r="46">
      <c r="B46" s="24">
        <f>IF(A46="","",TEXT(A46,"MMMM"))</f>
        <v/>
      </c>
      <c r="C46" s="24">
        <f>IF(A46="","",YEAR(A46))</f>
        <v/>
      </c>
    </row>
    <row r="47">
      <c r="B47" s="23">
        <f>IF(A47="","",TEXT(A47,"MMMM"))</f>
        <v/>
      </c>
      <c r="C47" s="23">
        <f>IF(A47="","",YEAR(A47))</f>
        <v/>
      </c>
    </row>
    <row r="48">
      <c r="B48" s="24">
        <f>IF(A48="","",TEXT(A48,"MMMM"))</f>
        <v/>
      </c>
      <c r="C48" s="24">
        <f>IF(A48="","",YEAR(A48))</f>
        <v/>
      </c>
    </row>
    <row r="49">
      <c r="B49" s="23">
        <f>IF(A49="","",TEXT(A49,"MMMM"))</f>
        <v/>
      </c>
      <c r="C49" s="23">
        <f>IF(A49="","",YEAR(A49))</f>
        <v/>
      </c>
    </row>
    <row r="50">
      <c r="B50" s="24">
        <f>IF(A50="","",TEXT(A50,"MMMM"))</f>
        <v/>
      </c>
      <c r="C50" s="24">
        <f>IF(A50="","",YEAR(A50))</f>
        <v/>
      </c>
    </row>
    <row r="51">
      <c r="B51" s="23">
        <f>IF(A51="","",TEXT(A51,"MMMM"))</f>
        <v/>
      </c>
      <c r="C51" s="23">
        <f>IF(A51="","",YEAR(A51))</f>
        <v/>
      </c>
    </row>
    <row r="52">
      <c r="B52" s="24">
        <f>IF(A52="","",TEXT(A52,"MMMM"))</f>
        <v/>
      </c>
      <c r="C52" s="24">
        <f>IF(A52="","",YEAR(A52))</f>
        <v/>
      </c>
    </row>
    <row r="53">
      <c r="B53" s="23">
        <f>IF(A53="","",TEXT(A53,"MMMM"))</f>
        <v/>
      </c>
      <c r="C53" s="23">
        <f>IF(A53="","",YEAR(A53))</f>
        <v/>
      </c>
    </row>
    <row r="54">
      <c r="B54" s="24">
        <f>IF(A54="","",TEXT(A54,"MMMM"))</f>
        <v/>
      </c>
      <c r="C54" s="24">
        <f>IF(A54="","",YEAR(A54))</f>
        <v/>
      </c>
    </row>
    <row r="55">
      <c r="B55" s="23">
        <f>IF(A55="","",TEXT(A55,"MMMM"))</f>
        <v/>
      </c>
      <c r="C55" s="23">
        <f>IF(A55="","",YEAR(A55))</f>
        <v/>
      </c>
    </row>
    <row r="56">
      <c r="B56" s="24">
        <f>IF(A56="","",TEXT(A56,"MMMM"))</f>
        <v/>
      </c>
      <c r="C56" s="24">
        <f>IF(A56="","",YEAR(A56))</f>
        <v/>
      </c>
    </row>
    <row r="57">
      <c r="B57" s="23">
        <f>IF(A57="","",TEXT(A57,"MMMM"))</f>
        <v/>
      </c>
      <c r="C57" s="23">
        <f>IF(A57="","",YEAR(A57))</f>
        <v/>
      </c>
    </row>
    <row r="58">
      <c r="B58" s="24">
        <f>IF(A58="","",TEXT(A58,"MMMM"))</f>
        <v/>
      </c>
      <c r="C58" s="24">
        <f>IF(A58="","",YEAR(A58))</f>
        <v/>
      </c>
    </row>
    <row r="59">
      <c r="B59" s="23">
        <f>IF(A59="","",TEXT(A59,"MMMM"))</f>
        <v/>
      </c>
      <c r="C59" s="23">
        <f>IF(A59="","",YEAR(A59))</f>
        <v/>
      </c>
    </row>
    <row r="60">
      <c r="B60" s="24">
        <f>IF(A60="","",TEXT(A60,"MMMM"))</f>
        <v/>
      </c>
      <c r="C60" s="24">
        <f>IF(A60="","",YEAR(A60))</f>
        <v/>
      </c>
    </row>
    <row r="61">
      <c r="B61" s="23">
        <f>IF(A61="","",TEXT(A61,"MMMM"))</f>
        <v/>
      </c>
      <c r="C61" s="23">
        <f>IF(A61="","",YEAR(A61))</f>
        <v/>
      </c>
    </row>
    <row r="62">
      <c r="B62" s="24">
        <f>IF(A62="","",TEXT(A62,"MMMM"))</f>
        <v/>
      </c>
      <c r="C62" s="24">
        <f>IF(A62="","",YEAR(A62))</f>
        <v/>
      </c>
    </row>
    <row r="63">
      <c r="B63" s="23">
        <f>IF(A63="","",TEXT(A63,"MMMM"))</f>
        <v/>
      </c>
      <c r="C63" s="23">
        <f>IF(A63="","",YEAR(A63))</f>
        <v/>
      </c>
    </row>
    <row r="64">
      <c r="B64" s="24">
        <f>IF(A64="","",TEXT(A64,"MMMM"))</f>
        <v/>
      </c>
      <c r="C64" s="24">
        <f>IF(A64="","",YEAR(A64))</f>
        <v/>
      </c>
    </row>
    <row r="65">
      <c r="B65" s="23">
        <f>IF(A65="","",TEXT(A65,"MMMM"))</f>
        <v/>
      </c>
      <c r="C65" s="23">
        <f>IF(A65="","",YEAR(A65))</f>
        <v/>
      </c>
    </row>
    <row r="66">
      <c r="B66" s="24">
        <f>IF(A66="","",TEXT(A66,"MMMM"))</f>
        <v/>
      </c>
      <c r="C66" s="24">
        <f>IF(A66="","",YEAR(A66))</f>
        <v/>
      </c>
    </row>
    <row r="67">
      <c r="B67" s="23">
        <f>IF(A67="","",TEXT(A67,"MMMM"))</f>
        <v/>
      </c>
      <c r="C67" s="23">
        <f>IF(A67="","",YEAR(A67))</f>
        <v/>
      </c>
    </row>
    <row r="68">
      <c r="B68" s="24">
        <f>IF(A68="","",TEXT(A68,"MMMM"))</f>
        <v/>
      </c>
      <c r="C68" s="24">
        <f>IF(A68="","",YEAR(A68))</f>
        <v/>
      </c>
    </row>
    <row r="69">
      <c r="B69" s="23">
        <f>IF(A69="","",TEXT(A69,"MMMM"))</f>
        <v/>
      </c>
      <c r="C69" s="23">
        <f>IF(A69="","",YEAR(A69))</f>
        <v/>
      </c>
    </row>
    <row r="70">
      <c r="B70" s="24">
        <f>IF(A70="","",TEXT(A70,"MMMM"))</f>
        <v/>
      </c>
      <c r="C70" s="24">
        <f>IF(A70="","",YEAR(A70))</f>
        <v/>
      </c>
    </row>
    <row r="71">
      <c r="B71" s="23">
        <f>IF(A71="","",TEXT(A71,"MMMM"))</f>
        <v/>
      </c>
      <c r="C71" s="23">
        <f>IF(A71="","",YEAR(A71))</f>
        <v/>
      </c>
    </row>
    <row r="72">
      <c r="B72" s="24">
        <f>IF(A72="","",TEXT(A72,"MMMM"))</f>
        <v/>
      </c>
      <c r="C72" s="24">
        <f>IF(A72="","",YEAR(A72))</f>
        <v/>
      </c>
    </row>
    <row r="73">
      <c r="B73" s="23">
        <f>IF(A73="","",TEXT(A73,"MMMM"))</f>
        <v/>
      </c>
      <c r="C73" s="23">
        <f>IF(A73="","",YEAR(A73))</f>
        <v/>
      </c>
    </row>
    <row r="74">
      <c r="B74" s="24">
        <f>IF(A74="","",TEXT(A74,"MMMM"))</f>
        <v/>
      </c>
      <c r="C74" s="24">
        <f>IF(A74="","",YEAR(A74))</f>
        <v/>
      </c>
    </row>
    <row r="75">
      <c r="B75" s="23">
        <f>IF(A75="","",TEXT(A75,"MMMM"))</f>
        <v/>
      </c>
      <c r="C75" s="23">
        <f>IF(A75="","",YEAR(A75))</f>
        <v/>
      </c>
    </row>
    <row r="76">
      <c r="B76" s="24">
        <f>IF(A76="","",TEXT(A76,"MMMM"))</f>
        <v/>
      </c>
      <c r="C76" s="24">
        <f>IF(A76="","",YEAR(A76))</f>
        <v/>
      </c>
    </row>
    <row r="77">
      <c r="B77" s="23">
        <f>IF(A77="","",TEXT(A77,"MMMM"))</f>
        <v/>
      </c>
      <c r="C77" s="23">
        <f>IF(A77="","",YEAR(A77))</f>
        <v/>
      </c>
    </row>
    <row r="78">
      <c r="B78" s="24">
        <f>IF(A78="","",TEXT(A78,"MMMM"))</f>
        <v/>
      </c>
      <c r="C78" s="24">
        <f>IF(A78="","",YEAR(A78))</f>
        <v/>
      </c>
    </row>
    <row r="79">
      <c r="B79" s="23">
        <f>IF(A79="","",TEXT(A79,"MMMM"))</f>
        <v/>
      </c>
      <c r="C79" s="23">
        <f>IF(A79="","",YEAR(A79))</f>
        <v/>
      </c>
    </row>
    <row r="80">
      <c r="B80" s="24">
        <f>IF(A80="","",TEXT(A80,"MMMM"))</f>
        <v/>
      </c>
      <c r="C80" s="24">
        <f>IF(A80="","",YEAR(A80))</f>
        <v/>
      </c>
    </row>
    <row r="81">
      <c r="B81" s="23">
        <f>IF(A81="","",TEXT(A81,"MMMM"))</f>
        <v/>
      </c>
      <c r="C81" s="23">
        <f>IF(A81="","",YEAR(A81))</f>
        <v/>
      </c>
    </row>
    <row r="82">
      <c r="B82" s="24">
        <f>IF(A82="","",TEXT(A82,"MMMM"))</f>
        <v/>
      </c>
      <c r="C82" s="24">
        <f>IF(A82="","",YEAR(A82))</f>
        <v/>
      </c>
    </row>
    <row r="83">
      <c r="B83" s="23">
        <f>IF(A83="","",TEXT(A83,"MMMM"))</f>
        <v/>
      </c>
      <c r="C83" s="23">
        <f>IF(A83="","",YEAR(A83))</f>
        <v/>
      </c>
    </row>
    <row r="84">
      <c r="B84" s="24">
        <f>IF(A84="","",TEXT(A84,"MMMM"))</f>
        <v/>
      </c>
      <c r="C84" s="24">
        <f>IF(A84="","",YEAR(A84))</f>
        <v/>
      </c>
    </row>
    <row r="85">
      <c r="B85" s="23">
        <f>IF(A85="","",TEXT(A85,"MMMM"))</f>
        <v/>
      </c>
      <c r="C85" s="23">
        <f>IF(A85="","",YEAR(A85))</f>
        <v/>
      </c>
    </row>
    <row r="86">
      <c r="B86" s="24">
        <f>IF(A86="","",TEXT(A86,"MMMM"))</f>
        <v/>
      </c>
      <c r="C86" s="24">
        <f>IF(A86="","",YEAR(A86))</f>
        <v/>
      </c>
    </row>
    <row r="87">
      <c r="B87" s="23">
        <f>IF(A87="","",TEXT(A87,"MMMM"))</f>
        <v/>
      </c>
      <c r="C87" s="23">
        <f>IF(A87="","",YEAR(A87))</f>
        <v/>
      </c>
    </row>
    <row r="88">
      <c r="B88" s="24">
        <f>IF(A88="","",TEXT(A88,"MMMM"))</f>
        <v/>
      </c>
      <c r="C88" s="24">
        <f>IF(A88="","",YEAR(A88))</f>
        <v/>
      </c>
    </row>
    <row r="89">
      <c r="B89" s="23">
        <f>IF(A89="","",TEXT(A89,"MMMM"))</f>
        <v/>
      </c>
      <c r="C89" s="23">
        <f>IF(A89="","",YEAR(A89))</f>
        <v/>
      </c>
    </row>
    <row r="90">
      <c r="B90" s="24">
        <f>IF(A90="","",TEXT(A90,"MMMM"))</f>
        <v/>
      </c>
      <c r="C90" s="24">
        <f>IF(A90="","",YEAR(A90))</f>
        <v/>
      </c>
    </row>
    <row r="91">
      <c r="B91" s="23">
        <f>IF(A91="","",TEXT(A91,"MMMM"))</f>
        <v/>
      </c>
      <c r="C91" s="23">
        <f>IF(A91="","",YEAR(A91))</f>
        <v/>
      </c>
    </row>
    <row r="92">
      <c r="B92" s="24">
        <f>IF(A92="","",TEXT(A92,"MMMM"))</f>
        <v/>
      </c>
      <c r="C92" s="24">
        <f>IF(A92="","",YEAR(A92))</f>
        <v/>
      </c>
    </row>
    <row r="93">
      <c r="B93" s="23">
        <f>IF(A93="","",TEXT(A93,"MMMM"))</f>
        <v/>
      </c>
      <c r="C93" s="23">
        <f>IF(A93="","",YEAR(A93))</f>
        <v/>
      </c>
    </row>
    <row r="94">
      <c r="B94" s="24">
        <f>IF(A94="","",TEXT(A94,"MMMM"))</f>
        <v/>
      </c>
      <c r="C94" s="24">
        <f>IF(A94="","",YEAR(A94))</f>
        <v/>
      </c>
    </row>
    <row r="95">
      <c r="B95" s="23">
        <f>IF(A95="","",TEXT(A95,"MMMM"))</f>
        <v/>
      </c>
      <c r="C95" s="23">
        <f>IF(A95="","",YEAR(A95))</f>
        <v/>
      </c>
    </row>
    <row r="96">
      <c r="B96" s="24">
        <f>IF(A96="","",TEXT(A96,"MMMM"))</f>
        <v/>
      </c>
      <c r="C96" s="24">
        <f>IF(A96="","",YEAR(A96))</f>
        <v/>
      </c>
    </row>
    <row r="97">
      <c r="B97" s="23">
        <f>IF(A97="","",TEXT(A97,"MMMM"))</f>
        <v/>
      </c>
      <c r="C97" s="23">
        <f>IF(A97="","",YEAR(A97))</f>
        <v/>
      </c>
    </row>
    <row r="98">
      <c r="B98" s="24">
        <f>IF(A98="","",TEXT(A98,"MMMM"))</f>
        <v/>
      </c>
      <c r="C98" s="24">
        <f>IF(A98="","",YEAR(A98))</f>
        <v/>
      </c>
    </row>
    <row r="99">
      <c r="B99" s="23">
        <f>IF(A99="","",TEXT(A99,"MMMM"))</f>
        <v/>
      </c>
      <c r="C99" s="23">
        <f>IF(A99="","",YEAR(A99))</f>
        <v/>
      </c>
    </row>
    <row r="100">
      <c r="B100" s="24">
        <f>IF(A100="","",TEXT(A100,"MMMM"))</f>
        <v/>
      </c>
      <c r="C100" s="24">
        <f>IF(A100="","",YEAR(A100))</f>
        <v/>
      </c>
    </row>
    <row r="101">
      <c r="B101" s="23">
        <f>IF(A101="","",TEXT(A101,"MMMM"))</f>
        <v/>
      </c>
      <c r="C101" s="23">
        <f>IF(A101="","",YEAR(A101))</f>
        <v/>
      </c>
    </row>
    <row r="102">
      <c r="B102" s="24">
        <f>IF(A102="","",TEXT(A102,"MMMM"))</f>
        <v/>
      </c>
      <c r="C102" s="24">
        <f>IF(A102="","",YEAR(A102))</f>
        <v/>
      </c>
    </row>
    <row r="103">
      <c r="B103" s="23">
        <f>IF(A103="","",TEXT(A103,"MMMM"))</f>
        <v/>
      </c>
      <c r="C103" s="23">
        <f>IF(A103="","",YEAR(A103))</f>
        <v/>
      </c>
    </row>
    <row r="104">
      <c r="B104" s="24">
        <f>IF(A104="","",TEXT(A104,"MMMM"))</f>
        <v/>
      </c>
      <c r="C104" s="24">
        <f>IF(A104="","",YEAR(A104))</f>
        <v/>
      </c>
    </row>
    <row r="105">
      <c r="B105" s="23">
        <f>IF(A105="","",TEXT(A105,"MMMM"))</f>
        <v/>
      </c>
      <c r="C105" s="23">
        <f>IF(A105="","",YEAR(A105))</f>
        <v/>
      </c>
    </row>
    <row r="106">
      <c r="B106" s="24">
        <f>IF(A106="","",TEXT(A106,"MMMM"))</f>
        <v/>
      </c>
      <c r="C106" s="24">
        <f>IF(A106="","",YEAR(A106))</f>
        <v/>
      </c>
    </row>
    <row r="107">
      <c r="B107" s="23">
        <f>IF(A107="","",TEXT(A107,"MMMM"))</f>
        <v/>
      </c>
      <c r="C107" s="23">
        <f>IF(A107="","",YEAR(A107))</f>
        <v/>
      </c>
    </row>
    <row r="108">
      <c r="B108" s="24">
        <f>IF(A108="","",TEXT(A108,"MMMM"))</f>
        <v/>
      </c>
      <c r="C108" s="24">
        <f>IF(A108="","",YEAR(A108))</f>
        <v/>
      </c>
    </row>
    <row r="109">
      <c r="B109" s="23">
        <f>IF(A109="","",TEXT(A109,"MMMM"))</f>
        <v/>
      </c>
      <c r="C109" s="23">
        <f>IF(A109="","",YEAR(A109))</f>
        <v/>
      </c>
    </row>
    <row r="110">
      <c r="B110" s="24">
        <f>IF(A110="","",TEXT(A110,"MMMM"))</f>
        <v/>
      </c>
      <c r="C110" s="24">
        <f>IF(A110="","",YEAR(A110))</f>
        <v/>
      </c>
    </row>
    <row r="111">
      <c r="B111" s="23">
        <f>IF(A111="","",TEXT(A111,"MMMM"))</f>
        <v/>
      </c>
      <c r="C111" s="23">
        <f>IF(A111="","",YEAR(A111))</f>
        <v/>
      </c>
    </row>
    <row r="112">
      <c r="B112" s="24">
        <f>IF(A112="","",TEXT(A112,"MMMM"))</f>
        <v/>
      </c>
      <c r="C112" s="24">
        <f>IF(A112="","",YEAR(A112))</f>
        <v/>
      </c>
    </row>
    <row r="113">
      <c r="B113" s="23">
        <f>IF(A113="","",TEXT(A113,"MMMM"))</f>
        <v/>
      </c>
      <c r="C113" s="23">
        <f>IF(A113="","",YEAR(A113))</f>
        <v/>
      </c>
    </row>
    <row r="114">
      <c r="B114" s="24">
        <f>IF(A114="","",TEXT(A114,"MMMM"))</f>
        <v/>
      </c>
      <c r="C114" s="24">
        <f>IF(A114="","",YEAR(A114))</f>
        <v/>
      </c>
    </row>
    <row r="115">
      <c r="B115" s="23">
        <f>IF(A115="","",TEXT(A115,"MMMM"))</f>
        <v/>
      </c>
      <c r="C115" s="23">
        <f>IF(A115="","",YEAR(A115))</f>
        <v/>
      </c>
    </row>
    <row r="116">
      <c r="B116" s="24">
        <f>IF(A116="","",TEXT(A116,"MMMM"))</f>
        <v/>
      </c>
      <c r="C116" s="24">
        <f>IF(A116="","",YEAR(A116))</f>
        <v/>
      </c>
    </row>
    <row r="117">
      <c r="B117" s="23">
        <f>IF(A117="","",TEXT(A117,"MMMM"))</f>
        <v/>
      </c>
      <c r="C117" s="23">
        <f>IF(A117="","",YEAR(A117))</f>
        <v/>
      </c>
    </row>
    <row r="118">
      <c r="B118" s="24">
        <f>IF(A118="","",TEXT(A118,"MMMM"))</f>
        <v/>
      </c>
      <c r="C118" s="24">
        <f>IF(A118="","",YEAR(A118))</f>
        <v/>
      </c>
    </row>
    <row r="119">
      <c r="B119" s="23">
        <f>IF(A119="","",TEXT(A119,"MMMM"))</f>
        <v/>
      </c>
      <c r="C119" s="23">
        <f>IF(A119="","",YEAR(A119))</f>
        <v/>
      </c>
    </row>
    <row r="120">
      <c r="B120" s="24">
        <f>IF(A120="","",TEXT(A120,"MMMM"))</f>
        <v/>
      </c>
      <c r="C120" s="24">
        <f>IF(A120="","",YEAR(A120))</f>
        <v/>
      </c>
    </row>
    <row r="121">
      <c r="B121" s="23">
        <f>IF(A121="","",TEXT(A121,"MMMM"))</f>
        <v/>
      </c>
      <c r="C121" s="23">
        <f>IF(A121="","",YEAR(A121))</f>
        <v/>
      </c>
    </row>
    <row r="122">
      <c r="B122" s="24">
        <f>IF(A122="","",TEXT(A122,"MMMM"))</f>
        <v/>
      </c>
      <c r="C122" s="24">
        <f>IF(A122="","",YEAR(A122))</f>
        <v/>
      </c>
    </row>
    <row r="123">
      <c r="B123" s="23">
        <f>IF(A123="","",TEXT(A123,"MMMM"))</f>
        <v/>
      </c>
      <c r="C123" s="23">
        <f>IF(A123="","",YEAR(A123))</f>
        <v/>
      </c>
    </row>
    <row r="124">
      <c r="B124" s="24">
        <f>IF(A124="","",TEXT(A124,"MMMM"))</f>
        <v/>
      </c>
      <c r="C124" s="24">
        <f>IF(A124="","",YEAR(A124))</f>
        <v/>
      </c>
    </row>
    <row r="125">
      <c r="B125" s="23">
        <f>IF(A125="","",TEXT(A125,"MMMM"))</f>
        <v/>
      </c>
      <c r="C125" s="23">
        <f>IF(A125="","",YEAR(A125))</f>
        <v/>
      </c>
    </row>
    <row r="126">
      <c r="B126" s="24">
        <f>IF(A126="","",TEXT(A126,"MMMM"))</f>
        <v/>
      </c>
      <c r="C126" s="24">
        <f>IF(A126="","",YEAR(A126))</f>
        <v/>
      </c>
    </row>
    <row r="127">
      <c r="B127" s="23">
        <f>IF(A127="","",TEXT(A127,"MMMM"))</f>
        <v/>
      </c>
      <c r="C127" s="23">
        <f>IF(A127="","",YEAR(A127))</f>
        <v/>
      </c>
    </row>
    <row r="128">
      <c r="B128" s="24">
        <f>IF(A128="","",TEXT(A128,"MMMM"))</f>
        <v/>
      </c>
      <c r="C128" s="24">
        <f>IF(A128="","",YEAR(A128))</f>
        <v/>
      </c>
    </row>
    <row r="129">
      <c r="B129" s="23">
        <f>IF(A129="","",TEXT(A129,"MMMM"))</f>
        <v/>
      </c>
      <c r="C129" s="23">
        <f>IF(A129="","",YEAR(A129))</f>
        <v/>
      </c>
    </row>
    <row r="130">
      <c r="B130" s="24">
        <f>IF(A130="","",TEXT(A130,"MMMM"))</f>
        <v/>
      </c>
      <c r="C130" s="24">
        <f>IF(A130="","",YEAR(A130))</f>
        <v/>
      </c>
    </row>
    <row r="131">
      <c r="B131" s="23">
        <f>IF(A131="","",TEXT(A131,"MMMM"))</f>
        <v/>
      </c>
      <c r="C131" s="23">
        <f>IF(A131="","",YEAR(A131))</f>
        <v/>
      </c>
    </row>
    <row r="132">
      <c r="B132" s="24">
        <f>IF(A132="","",TEXT(A132,"MMMM"))</f>
        <v/>
      </c>
      <c r="C132" s="24">
        <f>IF(A132="","",YEAR(A132))</f>
        <v/>
      </c>
    </row>
    <row r="133">
      <c r="B133" s="23">
        <f>IF(A133="","",TEXT(A133,"MMMM"))</f>
        <v/>
      </c>
      <c r="C133" s="23">
        <f>IF(A133="","",YEAR(A133))</f>
        <v/>
      </c>
    </row>
    <row r="134">
      <c r="B134" s="24">
        <f>IF(A134="","",TEXT(A134,"MMMM"))</f>
        <v/>
      </c>
      <c r="C134" s="24">
        <f>IF(A134="","",YEAR(A134))</f>
        <v/>
      </c>
    </row>
    <row r="135">
      <c r="B135" s="23">
        <f>IF(A135="","",TEXT(A135,"MMMM"))</f>
        <v/>
      </c>
      <c r="C135" s="23">
        <f>IF(A135="","",YEAR(A135))</f>
        <v/>
      </c>
    </row>
    <row r="136">
      <c r="B136" s="24">
        <f>IF(A136="","",TEXT(A136,"MMMM"))</f>
        <v/>
      </c>
      <c r="C136" s="24">
        <f>IF(A136="","",YEAR(A136))</f>
        <v/>
      </c>
    </row>
    <row r="137">
      <c r="B137" s="23">
        <f>IF(A137="","",TEXT(A137,"MMMM"))</f>
        <v/>
      </c>
      <c r="C137" s="23">
        <f>IF(A137="","",YEAR(A137))</f>
        <v/>
      </c>
    </row>
    <row r="138">
      <c r="B138" s="24">
        <f>IF(A138="","",TEXT(A138,"MMMM"))</f>
        <v/>
      </c>
      <c r="C138" s="24">
        <f>IF(A138="","",YEAR(A138))</f>
        <v/>
      </c>
    </row>
    <row r="139">
      <c r="B139" s="23">
        <f>IF(A139="","",TEXT(A139,"MMMM"))</f>
        <v/>
      </c>
      <c r="C139" s="23">
        <f>IF(A139="","",YEAR(A139))</f>
        <v/>
      </c>
    </row>
    <row r="140">
      <c r="B140" s="24">
        <f>IF(A140="","",TEXT(A140,"MMMM"))</f>
        <v/>
      </c>
      <c r="C140" s="24">
        <f>IF(A140="","",YEAR(A140))</f>
        <v/>
      </c>
    </row>
    <row r="141">
      <c r="B141" s="23">
        <f>IF(A141="","",TEXT(A141,"MMMM"))</f>
        <v/>
      </c>
      <c r="C141" s="23">
        <f>IF(A141="","",YEAR(A141))</f>
        <v/>
      </c>
    </row>
    <row r="142">
      <c r="B142" s="24">
        <f>IF(A142="","",TEXT(A142,"MMMM"))</f>
        <v/>
      </c>
      <c r="C142" s="24">
        <f>IF(A142="","",YEAR(A142))</f>
        <v/>
      </c>
    </row>
    <row r="143">
      <c r="B143" s="23">
        <f>IF(A143="","",TEXT(A143,"MMMM"))</f>
        <v/>
      </c>
      <c r="C143" s="23">
        <f>IF(A143="","",YEAR(A143))</f>
        <v/>
      </c>
    </row>
    <row r="144">
      <c r="B144" s="24">
        <f>IF(A144="","",TEXT(A144,"MMMM"))</f>
        <v/>
      </c>
      <c r="C144" s="24">
        <f>IF(A144="","",YEAR(A144))</f>
        <v/>
      </c>
    </row>
    <row r="145">
      <c r="B145" s="23">
        <f>IF(A145="","",TEXT(A145,"MMMM"))</f>
        <v/>
      </c>
      <c r="C145" s="23">
        <f>IF(A145="","",YEAR(A145))</f>
        <v/>
      </c>
    </row>
    <row r="146">
      <c r="B146" s="24">
        <f>IF(A146="","",TEXT(A146,"MMMM"))</f>
        <v/>
      </c>
      <c r="C146" s="24">
        <f>IF(A146="","",YEAR(A146))</f>
        <v/>
      </c>
    </row>
    <row r="147">
      <c r="B147" s="23">
        <f>IF(A147="","",TEXT(A147,"MMMM"))</f>
        <v/>
      </c>
      <c r="C147" s="23">
        <f>IF(A147="","",YEAR(A147))</f>
        <v/>
      </c>
    </row>
    <row r="148">
      <c r="B148" s="24">
        <f>IF(A148="","",TEXT(A148,"MMMM"))</f>
        <v/>
      </c>
      <c r="C148" s="24">
        <f>IF(A148="","",YEAR(A148))</f>
        <v/>
      </c>
    </row>
    <row r="149">
      <c r="B149" s="23">
        <f>IF(A149="","",TEXT(A149,"MMMM"))</f>
        <v/>
      </c>
      <c r="C149" s="23">
        <f>IF(A149="","",YEAR(A149))</f>
        <v/>
      </c>
    </row>
    <row r="150">
      <c r="B150" s="24">
        <f>IF(A150="","",TEXT(A150,"MMMM"))</f>
        <v/>
      </c>
      <c r="C150" s="24">
        <f>IF(A150="","",YEAR(A150))</f>
        <v/>
      </c>
    </row>
    <row r="151">
      <c r="B151" s="23">
        <f>IF(A151="","",TEXT(A151,"MMMM"))</f>
        <v/>
      </c>
      <c r="C151" s="23">
        <f>IF(A151="","",YEAR(A151))</f>
        <v/>
      </c>
    </row>
    <row r="152">
      <c r="B152" s="24">
        <f>IF(A152="","",TEXT(A152,"MMMM"))</f>
        <v/>
      </c>
      <c r="C152" s="24">
        <f>IF(A152="","",YEAR(A152))</f>
        <v/>
      </c>
    </row>
    <row r="153">
      <c r="B153" s="23">
        <f>IF(A153="","",TEXT(A153,"MMMM"))</f>
        <v/>
      </c>
      <c r="C153" s="23">
        <f>IF(A153="","",YEAR(A153))</f>
        <v/>
      </c>
    </row>
    <row r="154">
      <c r="B154" s="24">
        <f>IF(A154="","",TEXT(A154,"MMMM"))</f>
        <v/>
      </c>
      <c r="C154" s="24">
        <f>IF(A154="","",YEAR(A154))</f>
        <v/>
      </c>
    </row>
    <row r="155">
      <c r="B155" s="23">
        <f>IF(A155="","",TEXT(A155,"MMMM"))</f>
        <v/>
      </c>
      <c r="C155" s="23">
        <f>IF(A155="","",YEAR(A155))</f>
        <v/>
      </c>
    </row>
    <row r="156">
      <c r="B156" s="24">
        <f>IF(A156="","",TEXT(A156,"MMMM"))</f>
        <v/>
      </c>
      <c r="C156" s="24">
        <f>IF(A156="","",YEAR(A156))</f>
        <v/>
      </c>
    </row>
    <row r="157">
      <c r="B157" s="23">
        <f>IF(A157="","",TEXT(A157,"MMMM"))</f>
        <v/>
      </c>
      <c r="C157" s="23">
        <f>IF(A157="","",YEAR(A157))</f>
        <v/>
      </c>
    </row>
    <row r="158">
      <c r="B158" s="24">
        <f>IF(A158="","",TEXT(A158,"MMMM"))</f>
        <v/>
      </c>
      <c r="C158" s="24">
        <f>IF(A158="","",YEAR(A158))</f>
        <v/>
      </c>
    </row>
    <row r="159">
      <c r="B159" s="23">
        <f>IF(A159="","",TEXT(A159,"MMMM"))</f>
        <v/>
      </c>
      <c r="C159" s="23">
        <f>IF(A159="","",YEAR(A159))</f>
        <v/>
      </c>
    </row>
    <row r="160">
      <c r="B160" s="24">
        <f>IF(A160="","",TEXT(A160,"MMMM"))</f>
        <v/>
      </c>
      <c r="C160" s="24">
        <f>IF(A160="","",YEAR(A160))</f>
        <v/>
      </c>
    </row>
    <row r="161">
      <c r="B161" s="23">
        <f>IF(A161="","",TEXT(A161,"MMMM"))</f>
        <v/>
      </c>
      <c r="C161" s="23">
        <f>IF(A161="","",YEAR(A161))</f>
        <v/>
      </c>
    </row>
    <row r="162">
      <c r="B162" s="24">
        <f>IF(A162="","",TEXT(A162,"MMMM"))</f>
        <v/>
      </c>
      <c r="C162" s="24">
        <f>IF(A162="","",YEAR(A162))</f>
        <v/>
      </c>
    </row>
    <row r="163">
      <c r="B163" s="23">
        <f>IF(A163="","",TEXT(A163,"MMMM"))</f>
        <v/>
      </c>
      <c r="C163" s="23">
        <f>IF(A163="","",YEAR(A163))</f>
        <v/>
      </c>
    </row>
    <row r="164">
      <c r="B164" s="24">
        <f>IF(A164="","",TEXT(A164,"MMMM"))</f>
        <v/>
      </c>
      <c r="C164" s="24">
        <f>IF(A164="","",YEAR(A164))</f>
        <v/>
      </c>
    </row>
    <row r="165">
      <c r="B165" s="23">
        <f>IF(A165="","",TEXT(A165,"MMMM"))</f>
        <v/>
      </c>
      <c r="C165" s="23">
        <f>IF(A165="","",YEAR(A165))</f>
        <v/>
      </c>
    </row>
    <row r="166">
      <c r="B166" s="24">
        <f>IF(A166="","",TEXT(A166,"MMMM"))</f>
        <v/>
      </c>
      <c r="C166" s="24">
        <f>IF(A166="","",YEAR(A166))</f>
        <v/>
      </c>
    </row>
    <row r="167">
      <c r="B167" s="23">
        <f>IF(A167="","",TEXT(A167,"MMMM"))</f>
        <v/>
      </c>
      <c r="C167" s="23">
        <f>IF(A167="","",YEAR(A167))</f>
        <v/>
      </c>
    </row>
    <row r="168">
      <c r="B168" s="24">
        <f>IF(A168="","",TEXT(A168,"MMMM"))</f>
        <v/>
      </c>
      <c r="C168" s="24">
        <f>IF(A168="","",YEAR(A168))</f>
        <v/>
      </c>
    </row>
    <row r="169">
      <c r="B169" s="23">
        <f>IF(A169="","",TEXT(A169,"MMMM"))</f>
        <v/>
      </c>
      <c r="C169" s="23">
        <f>IF(A169="","",YEAR(A169))</f>
        <v/>
      </c>
    </row>
    <row r="170">
      <c r="B170" s="24">
        <f>IF(A170="","",TEXT(A170,"MMMM"))</f>
        <v/>
      </c>
      <c r="C170" s="24">
        <f>IF(A170="","",YEAR(A170))</f>
        <v/>
      </c>
    </row>
    <row r="171">
      <c r="B171" s="23">
        <f>IF(A171="","",TEXT(A171,"MMMM"))</f>
        <v/>
      </c>
      <c r="C171" s="23">
        <f>IF(A171="","",YEAR(A171))</f>
        <v/>
      </c>
    </row>
    <row r="172">
      <c r="B172" s="24">
        <f>IF(A172="","",TEXT(A172,"MMMM"))</f>
        <v/>
      </c>
      <c r="C172" s="24">
        <f>IF(A172="","",YEAR(A172))</f>
        <v/>
      </c>
    </row>
    <row r="173">
      <c r="B173" s="23">
        <f>IF(A173="","",TEXT(A173,"MMMM"))</f>
        <v/>
      </c>
      <c r="C173" s="23">
        <f>IF(A173="","",YEAR(A173))</f>
        <v/>
      </c>
    </row>
    <row r="174">
      <c r="B174" s="24">
        <f>IF(A174="","",TEXT(A174,"MMMM"))</f>
        <v/>
      </c>
      <c r="C174" s="24">
        <f>IF(A174="","",YEAR(A174))</f>
        <v/>
      </c>
    </row>
    <row r="175">
      <c r="B175" s="23">
        <f>IF(A175="","",TEXT(A175,"MMMM"))</f>
        <v/>
      </c>
      <c r="C175" s="23">
        <f>IF(A175="","",YEAR(A175))</f>
        <v/>
      </c>
    </row>
    <row r="176">
      <c r="B176" s="24">
        <f>IF(A176="","",TEXT(A176,"MMMM"))</f>
        <v/>
      </c>
      <c r="C176" s="24">
        <f>IF(A176="","",YEAR(A176))</f>
        <v/>
      </c>
    </row>
    <row r="177">
      <c r="B177" s="23">
        <f>IF(A177="","",TEXT(A177,"MMMM"))</f>
        <v/>
      </c>
      <c r="C177" s="23">
        <f>IF(A177="","",YEAR(A177))</f>
        <v/>
      </c>
    </row>
    <row r="178">
      <c r="B178" s="24">
        <f>IF(A178="","",TEXT(A178,"MMMM"))</f>
        <v/>
      </c>
      <c r="C178" s="24">
        <f>IF(A178="","",YEAR(A178))</f>
        <v/>
      </c>
    </row>
    <row r="179">
      <c r="B179" s="23">
        <f>IF(A179="","",TEXT(A179,"MMMM"))</f>
        <v/>
      </c>
      <c r="C179" s="23">
        <f>IF(A179="","",YEAR(A179))</f>
        <v/>
      </c>
    </row>
    <row r="180">
      <c r="B180" s="24">
        <f>IF(A180="","",TEXT(A180,"MMMM"))</f>
        <v/>
      </c>
      <c r="C180" s="24">
        <f>IF(A180="","",YEAR(A180))</f>
        <v/>
      </c>
    </row>
    <row r="181">
      <c r="B181" s="23">
        <f>IF(A181="","",TEXT(A181,"MMMM"))</f>
        <v/>
      </c>
      <c r="C181" s="23">
        <f>IF(A181="","",YEAR(A181))</f>
        <v/>
      </c>
    </row>
    <row r="182">
      <c r="B182" s="24">
        <f>IF(A182="","",TEXT(A182,"MMMM"))</f>
        <v/>
      </c>
      <c r="C182" s="24">
        <f>IF(A182="","",YEAR(A182))</f>
        <v/>
      </c>
    </row>
    <row r="183">
      <c r="B183" s="23">
        <f>IF(A183="","",TEXT(A183,"MMMM"))</f>
        <v/>
      </c>
      <c r="C183" s="23">
        <f>IF(A183="","",YEAR(A183))</f>
        <v/>
      </c>
    </row>
    <row r="184">
      <c r="B184" s="24">
        <f>IF(A184="","",TEXT(A184,"MMMM"))</f>
        <v/>
      </c>
      <c r="C184" s="24">
        <f>IF(A184="","",YEAR(A184))</f>
        <v/>
      </c>
    </row>
    <row r="185">
      <c r="B185" s="23">
        <f>IF(A185="","",TEXT(A185,"MMMM"))</f>
        <v/>
      </c>
      <c r="C185" s="23">
        <f>IF(A185="","",YEAR(A185))</f>
        <v/>
      </c>
    </row>
    <row r="186">
      <c r="B186" s="24">
        <f>IF(A186="","",TEXT(A186,"MMMM"))</f>
        <v/>
      </c>
      <c r="C186" s="24">
        <f>IF(A186="","",YEAR(A186))</f>
        <v/>
      </c>
    </row>
    <row r="187">
      <c r="B187" s="23">
        <f>IF(A187="","",TEXT(A187,"MMMM"))</f>
        <v/>
      </c>
      <c r="C187" s="23">
        <f>IF(A187="","",YEAR(A187))</f>
        <v/>
      </c>
    </row>
    <row r="188">
      <c r="B188" s="24">
        <f>IF(A188="","",TEXT(A188,"MMMM"))</f>
        <v/>
      </c>
      <c r="C188" s="24">
        <f>IF(A188="","",YEAR(A188))</f>
        <v/>
      </c>
    </row>
    <row r="189">
      <c r="B189" s="23">
        <f>IF(A189="","",TEXT(A189,"MMMM"))</f>
        <v/>
      </c>
      <c r="C189" s="23">
        <f>IF(A189="","",YEAR(A189))</f>
        <v/>
      </c>
    </row>
    <row r="190">
      <c r="B190" s="24">
        <f>IF(A190="","",TEXT(A190,"MMMM"))</f>
        <v/>
      </c>
      <c r="C190" s="24">
        <f>IF(A190="","",YEAR(A190))</f>
        <v/>
      </c>
    </row>
    <row r="191">
      <c r="B191" s="23">
        <f>IF(A191="","",TEXT(A191,"MMMM"))</f>
        <v/>
      </c>
      <c r="C191" s="23">
        <f>IF(A191="","",YEAR(A191))</f>
        <v/>
      </c>
    </row>
    <row r="192">
      <c r="B192" s="24">
        <f>IF(A192="","",TEXT(A192,"MMMM"))</f>
        <v/>
      </c>
      <c r="C192" s="24">
        <f>IF(A192="","",YEAR(A192))</f>
        <v/>
      </c>
    </row>
    <row r="193">
      <c r="B193" s="23">
        <f>IF(A193="","",TEXT(A193,"MMMM"))</f>
        <v/>
      </c>
      <c r="C193" s="23">
        <f>IF(A193="","",YEAR(A193))</f>
        <v/>
      </c>
    </row>
    <row r="194">
      <c r="B194" s="24">
        <f>IF(A194="","",TEXT(A194,"MMMM"))</f>
        <v/>
      </c>
      <c r="C194" s="24">
        <f>IF(A194="","",YEAR(A194))</f>
        <v/>
      </c>
    </row>
    <row r="195">
      <c r="B195" s="23">
        <f>IF(A195="","",TEXT(A195,"MMMM"))</f>
        <v/>
      </c>
      <c r="C195" s="23">
        <f>IF(A195="","",YEAR(A195))</f>
        <v/>
      </c>
    </row>
    <row r="196">
      <c r="B196" s="24">
        <f>IF(A196="","",TEXT(A196,"MMMM"))</f>
        <v/>
      </c>
      <c r="C196" s="24">
        <f>IF(A196="","",YEAR(A196))</f>
        <v/>
      </c>
    </row>
    <row r="197">
      <c r="B197" s="23">
        <f>IF(A197="","",TEXT(A197,"MMMM"))</f>
        <v/>
      </c>
      <c r="C197" s="23">
        <f>IF(A197="","",YEAR(A197))</f>
        <v/>
      </c>
    </row>
    <row r="198">
      <c r="B198" s="24">
        <f>IF(A198="","",TEXT(A198,"MMMM"))</f>
        <v/>
      </c>
      <c r="C198" s="24">
        <f>IF(A198="","",YEAR(A198))</f>
        <v/>
      </c>
    </row>
    <row r="199">
      <c r="B199" s="23">
        <f>IF(A199="","",TEXT(A199,"MMMM"))</f>
        <v/>
      </c>
      <c r="C199" s="23">
        <f>IF(A199="","",YEAR(A199))</f>
        <v/>
      </c>
    </row>
    <row r="200">
      <c r="B200" s="24">
        <f>IF(A200="","",TEXT(A200,"MMMM"))</f>
        <v/>
      </c>
      <c r="C200" s="24">
        <f>IF(A200="","",YEAR(A200))</f>
        <v/>
      </c>
    </row>
    <row r="201">
      <c r="B201" s="23">
        <f>IF(A201="","",TEXT(A201,"MMMM"))</f>
        <v/>
      </c>
      <c r="C201" s="23">
        <f>IF(A201="","",YEAR(A201))</f>
        <v/>
      </c>
    </row>
    <row r="202">
      <c r="B202" s="24">
        <f>IF(A202="","",TEXT(A202,"MMMM"))</f>
        <v/>
      </c>
      <c r="C202" s="24">
        <f>IF(A202="","",YEAR(A202))</f>
        <v/>
      </c>
    </row>
    <row r="203">
      <c r="B203" s="23">
        <f>IF(A203="","",TEXT(A203,"MMMM"))</f>
        <v/>
      </c>
      <c r="C203" s="23">
        <f>IF(A203="","",YEAR(A203))</f>
        <v/>
      </c>
    </row>
    <row r="204">
      <c r="B204" s="24">
        <f>IF(A204="","",TEXT(A204,"MMMM"))</f>
        <v/>
      </c>
      <c r="C204" s="24">
        <f>IF(A204="","",YEAR(A204))</f>
        <v/>
      </c>
    </row>
    <row r="205">
      <c r="B205" s="23">
        <f>IF(A205="","",TEXT(A205,"MMMM"))</f>
        <v/>
      </c>
      <c r="C205" s="23">
        <f>IF(A205="","",YEAR(A205))</f>
        <v/>
      </c>
    </row>
    <row r="206">
      <c r="B206" s="24">
        <f>IF(A206="","",TEXT(A206,"MMMM"))</f>
        <v/>
      </c>
      <c r="C206" s="24">
        <f>IF(A206="","",YEAR(A206))</f>
        <v/>
      </c>
    </row>
    <row r="207">
      <c r="B207" s="23">
        <f>IF(A207="","",TEXT(A207,"MMMM"))</f>
        <v/>
      </c>
      <c r="C207" s="23">
        <f>IF(A207="","",YEAR(A207))</f>
        <v/>
      </c>
    </row>
    <row r="208">
      <c r="B208" s="24">
        <f>IF(A208="","",TEXT(A208,"MMMM"))</f>
        <v/>
      </c>
      <c r="C208" s="24">
        <f>IF(A208="","",YEAR(A208))</f>
        <v/>
      </c>
    </row>
    <row r="209">
      <c r="B209" s="23">
        <f>IF(A209="","",TEXT(A209,"MMMM"))</f>
        <v/>
      </c>
      <c r="C209" s="23">
        <f>IF(A209="","",YEAR(A209))</f>
        <v/>
      </c>
    </row>
    <row r="210">
      <c r="B210" s="24">
        <f>IF(A210="","",TEXT(A210,"MMMM"))</f>
        <v/>
      </c>
      <c r="C210" s="24">
        <f>IF(A210="","",YEAR(A210))</f>
        <v/>
      </c>
    </row>
    <row r="211">
      <c r="B211" s="23">
        <f>IF(A211="","",TEXT(A211,"MMMM"))</f>
        <v/>
      </c>
      <c r="C211" s="23">
        <f>IF(A211="","",YEAR(A211))</f>
        <v/>
      </c>
    </row>
    <row r="212">
      <c r="B212" s="24">
        <f>IF(A212="","",TEXT(A212,"MMMM"))</f>
        <v/>
      </c>
      <c r="C212" s="24">
        <f>IF(A212="","",YEAR(A212))</f>
        <v/>
      </c>
    </row>
    <row r="213">
      <c r="B213" s="23">
        <f>IF(A213="","",TEXT(A213,"MMMM"))</f>
        <v/>
      </c>
      <c r="C213" s="23">
        <f>IF(A213="","",YEAR(A213))</f>
        <v/>
      </c>
    </row>
    <row r="214">
      <c r="B214" s="24">
        <f>IF(A214="","",TEXT(A214,"MMMM"))</f>
        <v/>
      </c>
      <c r="C214" s="24">
        <f>IF(A214="","",YEAR(A214))</f>
        <v/>
      </c>
    </row>
    <row r="215">
      <c r="B215" s="23">
        <f>IF(A215="","",TEXT(A215,"MMMM"))</f>
        <v/>
      </c>
      <c r="C215" s="23">
        <f>IF(A215="","",YEAR(A215))</f>
        <v/>
      </c>
    </row>
    <row r="216">
      <c r="B216" s="24">
        <f>IF(A216="","",TEXT(A216,"MMMM"))</f>
        <v/>
      </c>
      <c r="C216" s="24">
        <f>IF(A216="","",YEAR(A216))</f>
        <v/>
      </c>
    </row>
    <row r="217">
      <c r="B217" s="23">
        <f>IF(A217="","",TEXT(A217,"MMMM"))</f>
        <v/>
      </c>
      <c r="C217" s="23">
        <f>IF(A217="","",YEAR(A217))</f>
        <v/>
      </c>
    </row>
    <row r="218">
      <c r="B218" s="24">
        <f>IF(A218="","",TEXT(A218,"MMMM"))</f>
        <v/>
      </c>
      <c r="C218" s="24">
        <f>IF(A218="","",YEAR(A218))</f>
        <v/>
      </c>
    </row>
    <row r="219">
      <c r="B219" s="23">
        <f>IF(A219="","",TEXT(A219,"MMMM"))</f>
        <v/>
      </c>
      <c r="C219" s="23">
        <f>IF(A219="","",YEAR(A219))</f>
        <v/>
      </c>
    </row>
    <row r="220">
      <c r="B220" s="24">
        <f>IF(A220="","",TEXT(A220,"MMMM"))</f>
        <v/>
      </c>
      <c r="C220" s="24">
        <f>IF(A220="","",YEAR(A220))</f>
        <v/>
      </c>
    </row>
    <row r="221">
      <c r="B221" s="23">
        <f>IF(A221="","",TEXT(A221,"MMMM"))</f>
        <v/>
      </c>
      <c r="C221" s="23">
        <f>IF(A221="","",YEAR(A221))</f>
        <v/>
      </c>
    </row>
    <row r="222">
      <c r="B222" s="24">
        <f>IF(A222="","",TEXT(A222,"MMMM"))</f>
        <v/>
      </c>
      <c r="C222" s="24">
        <f>IF(A222="","",YEAR(A222))</f>
        <v/>
      </c>
    </row>
    <row r="223">
      <c r="B223" s="23">
        <f>IF(A223="","",TEXT(A223,"MMMM"))</f>
        <v/>
      </c>
      <c r="C223" s="23">
        <f>IF(A223="","",YEAR(A223))</f>
        <v/>
      </c>
    </row>
    <row r="224">
      <c r="B224" s="24">
        <f>IF(A224="","",TEXT(A224,"MMMM"))</f>
        <v/>
      </c>
      <c r="C224" s="24">
        <f>IF(A224="","",YEAR(A224))</f>
        <v/>
      </c>
    </row>
    <row r="225">
      <c r="B225" s="23">
        <f>IF(A225="","",TEXT(A225,"MMMM"))</f>
        <v/>
      </c>
      <c r="C225" s="23">
        <f>IF(A225="","",YEAR(A225))</f>
        <v/>
      </c>
    </row>
    <row r="226">
      <c r="B226" s="24">
        <f>IF(A226="","",TEXT(A226,"MMMM"))</f>
        <v/>
      </c>
      <c r="C226" s="24">
        <f>IF(A226="","",YEAR(A226))</f>
        <v/>
      </c>
    </row>
    <row r="227">
      <c r="B227" s="23">
        <f>IF(A227="","",TEXT(A227,"MMMM"))</f>
        <v/>
      </c>
      <c r="C227" s="23">
        <f>IF(A227="","",YEAR(A227))</f>
        <v/>
      </c>
    </row>
    <row r="228">
      <c r="B228" s="24">
        <f>IF(A228="","",TEXT(A228,"MMMM"))</f>
        <v/>
      </c>
      <c r="C228" s="24">
        <f>IF(A228="","",YEAR(A228))</f>
        <v/>
      </c>
    </row>
    <row r="229">
      <c r="B229" s="23">
        <f>IF(A229="","",TEXT(A229,"MMMM"))</f>
        <v/>
      </c>
      <c r="C229" s="23">
        <f>IF(A229="","",YEAR(A229))</f>
        <v/>
      </c>
    </row>
    <row r="230">
      <c r="B230" s="24">
        <f>IF(A230="","",TEXT(A230,"MMMM"))</f>
        <v/>
      </c>
      <c r="C230" s="24">
        <f>IF(A230="","",YEAR(A230))</f>
        <v/>
      </c>
    </row>
    <row r="231">
      <c r="B231" s="23">
        <f>IF(A231="","",TEXT(A231,"MMMM"))</f>
        <v/>
      </c>
      <c r="C231" s="23">
        <f>IF(A231="","",YEAR(A231))</f>
        <v/>
      </c>
    </row>
    <row r="232">
      <c r="B232" s="24">
        <f>IF(A232="","",TEXT(A232,"MMMM"))</f>
        <v/>
      </c>
      <c r="C232" s="24">
        <f>IF(A232="","",YEAR(A232))</f>
        <v/>
      </c>
    </row>
    <row r="233">
      <c r="B233" s="23">
        <f>IF(A233="","",TEXT(A233,"MMMM"))</f>
        <v/>
      </c>
      <c r="C233" s="23">
        <f>IF(A233="","",YEAR(A233))</f>
        <v/>
      </c>
    </row>
    <row r="234">
      <c r="B234" s="24">
        <f>IF(A234="","",TEXT(A234,"MMMM"))</f>
        <v/>
      </c>
      <c r="C234" s="24">
        <f>IF(A234="","",YEAR(A234))</f>
        <v/>
      </c>
    </row>
    <row r="235">
      <c r="B235" s="23">
        <f>IF(A235="","",TEXT(A235,"MMMM"))</f>
        <v/>
      </c>
      <c r="C235" s="23">
        <f>IF(A235="","",YEAR(A235))</f>
        <v/>
      </c>
    </row>
    <row r="236">
      <c r="B236" s="24">
        <f>IF(A236="","",TEXT(A236,"MMMM"))</f>
        <v/>
      </c>
      <c r="C236" s="24">
        <f>IF(A236="","",YEAR(A236))</f>
        <v/>
      </c>
    </row>
    <row r="237">
      <c r="B237" s="23">
        <f>IF(A237="","",TEXT(A237,"MMMM"))</f>
        <v/>
      </c>
      <c r="C237" s="23">
        <f>IF(A237="","",YEAR(A237))</f>
        <v/>
      </c>
    </row>
    <row r="238">
      <c r="B238" s="24">
        <f>IF(A238="","",TEXT(A238,"MMMM"))</f>
        <v/>
      </c>
      <c r="C238" s="24">
        <f>IF(A238="","",YEAR(A238))</f>
        <v/>
      </c>
    </row>
    <row r="239">
      <c r="B239" s="23">
        <f>IF(A239="","",TEXT(A239,"MMMM"))</f>
        <v/>
      </c>
      <c r="C239" s="23">
        <f>IF(A239="","",YEAR(A239))</f>
        <v/>
      </c>
    </row>
    <row r="240">
      <c r="B240" s="24">
        <f>IF(A240="","",TEXT(A240,"MMMM"))</f>
        <v/>
      </c>
      <c r="C240" s="24">
        <f>IF(A240="","",YEAR(A240))</f>
        <v/>
      </c>
    </row>
    <row r="241">
      <c r="B241" s="23">
        <f>IF(A241="","",TEXT(A241,"MMMM"))</f>
        <v/>
      </c>
      <c r="C241" s="23">
        <f>IF(A241="","",YEAR(A241))</f>
        <v/>
      </c>
    </row>
    <row r="242">
      <c r="B242" s="24">
        <f>IF(A242="","",TEXT(A242,"MMMM"))</f>
        <v/>
      </c>
      <c r="C242" s="24">
        <f>IF(A242="","",YEAR(A242))</f>
        <v/>
      </c>
    </row>
    <row r="243">
      <c r="B243" s="23">
        <f>IF(A243="","",TEXT(A243,"MMMM"))</f>
        <v/>
      </c>
      <c r="C243" s="23">
        <f>IF(A243="","",YEAR(A243))</f>
        <v/>
      </c>
    </row>
    <row r="244">
      <c r="B244" s="24">
        <f>IF(A244="","",TEXT(A244,"MMMM"))</f>
        <v/>
      </c>
      <c r="C244" s="24">
        <f>IF(A244="","",YEAR(A244))</f>
        <v/>
      </c>
    </row>
    <row r="245">
      <c r="B245" s="23">
        <f>IF(A245="","",TEXT(A245,"MMMM"))</f>
        <v/>
      </c>
      <c r="C245" s="23">
        <f>IF(A245="","",YEAR(A245))</f>
        <v/>
      </c>
    </row>
    <row r="246">
      <c r="B246" s="24">
        <f>IF(A246="","",TEXT(A246,"MMMM"))</f>
        <v/>
      </c>
      <c r="C246" s="24">
        <f>IF(A246="","",YEAR(A246))</f>
        <v/>
      </c>
    </row>
    <row r="247">
      <c r="B247" s="23">
        <f>IF(A247="","",TEXT(A247,"MMMM"))</f>
        <v/>
      </c>
      <c r="C247" s="23">
        <f>IF(A247="","",YEAR(A247))</f>
        <v/>
      </c>
    </row>
    <row r="248">
      <c r="B248" s="24">
        <f>IF(A248="","",TEXT(A248,"MMMM"))</f>
        <v/>
      </c>
      <c r="C248" s="24">
        <f>IF(A248="","",YEAR(A248))</f>
        <v/>
      </c>
    </row>
    <row r="249">
      <c r="B249" s="23">
        <f>IF(A249="","",TEXT(A249,"MMMM"))</f>
        <v/>
      </c>
      <c r="C249" s="23">
        <f>IF(A249="","",YEAR(A249))</f>
        <v/>
      </c>
    </row>
    <row r="250">
      <c r="B250" s="24">
        <f>IF(A250="","",TEXT(A250,"MMMM"))</f>
        <v/>
      </c>
      <c r="C250" s="24">
        <f>IF(A250="","",YEAR(A250))</f>
        <v/>
      </c>
    </row>
    <row r="251">
      <c r="B251" s="23">
        <f>IF(A251="","",TEXT(A251,"MMMM"))</f>
        <v/>
      </c>
      <c r="C251" s="23">
        <f>IF(A251="","",YEAR(A251))</f>
        <v/>
      </c>
    </row>
    <row r="252">
      <c r="B252" s="24">
        <f>IF(A252="","",TEXT(A252,"MMMM"))</f>
        <v/>
      </c>
      <c r="C252" s="24">
        <f>IF(A252="","",YEAR(A252))</f>
        <v/>
      </c>
    </row>
    <row r="253">
      <c r="B253" s="23">
        <f>IF(A253="","",TEXT(A253,"MMMM"))</f>
        <v/>
      </c>
      <c r="C253" s="23">
        <f>IF(A253="","",YEAR(A253))</f>
        <v/>
      </c>
    </row>
    <row r="254">
      <c r="B254" s="24">
        <f>IF(A254="","",TEXT(A254,"MMMM"))</f>
        <v/>
      </c>
      <c r="C254" s="24">
        <f>IF(A254="","",YEAR(A254))</f>
        <v/>
      </c>
    </row>
    <row r="255">
      <c r="B255" s="23">
        <f>IF(A255="","",TEXT(A255,"MMMM"))</f>
        <v/>
      </c>
      <c r="C255" s="23">
        <f>IF(A255="","",YEAR(A255))</f>
        <v/>
      </c>
    </row>
    <row r="256">
      <c r="B256" s="24">
        <f>IF(A256="","",TEXT(A256,"MMMM"))</f>
        <v/>
      </c>
      <c r="C256" s="24">
        <f>IF(A256="","",YEAR(A256))</f>
        <v/>
      </c>
    </row>
    <row r="257">
      <c r="B257" s="23">
        <f>IF(A257="","",TEXT(A257,"MMMM"))</f>
        <v/>
      </c>
      <c r="C257" s="23">
        <f>IF(A257="","",YEAR(A257))</f>
        <v/>
      </c>
    </row>
    <row r="258">
      <c r="B258" s="24">
        <f>IF(A258="","",TEXT(A258,"MMMM"))</f>
        <v/>
      </c>
      <c r="C258" s="24">
        <f>IF(A258="","",YEAR(A258))</f>
        <v/>
      </c>
    </row>
    <row r="259">
      <c r="B259" s="23">
        <f>IF(A259="","",TEXT(A259,"MMMM"))</f>
        <v/>
      </c>
      <c r="C259" s="23">
        <f>IF(A259="","",YEAR(A259))</f>
        <v/>
      </c>
    </row>
    <row r="260">
      <c r="B260" s="24">
        <f>IF(A260="","",TEXT(A260,"MMMM"))</f>
        <v/>
      </c>
      <c r="C260" s="24">
        <f>IF(A260="","",YEAR(A260))</f>
        <v/>
      </c>
    </row>
    <row r="261">
      <c r="B261" s="23">
        <f>IF(A261="","",TEXT(A261,"MMMM"))</f>
        <v/>
      </c>
      <c r="C261" s="23">
        <f>IF(A261="","",YEAR(A261))</f>
        <v/>
      </c>
    </row>
    <row r="262">
      <c r="B262" s="24">
        <f>IF(A262="","",TEXT(A262,"MMMM"))</f>
        <v/>
      </c>
      <c r="C262" s="24">
        <f>IF(A262="","",YEAR(A262))</f>
        <v/>
      </c>
    </row>
    <row r="263">
      <c r="B263" s="23">
        <f>IF(A263="","",TEXT(A263,"MMMM"))</f>
        <v/>
      </c>
      <c r="C263" s="23">
        <f>IF(A263="","",YEAR(A263))</f>
        <v/>
      </c>
    </row>
    <row r="264">
      <c r="B264" s="24">
        <f>IF(A264="","",TEXT(A264,"MMMM"))</f>
        <v/>
      </c>
      <c r="C264" s="24">
        <f>IF(A264="","",YEAR(A264))</f>
        <v/>
      </c>
    </row>
    <row r="265">
      <c r="B265" s="23">
        <f>IF(A265="","",TEXT(A265,"MMMM"))</f>
        <v/>
      </c>
      <c r="C265" s="23">
        <f>IF(A265="","",YEAR(A265))</f>
        <v/>
      </c>
    </row>
    <row r="266">
      <c r="B266" s="24">
        <f>IF(A266="","",TEXT(A266,"MMMM"))</f>
        <v/>
      </c>
      <c r="C266" s="24">
        <f>IF(A266="","",YEAR(A266))</f>
        <v/>
      </c>
    </row>
    <row r="267">
      <c r="B267" s="23">
        <f>IF(A267="","",TEXT(A267,"MMMM"))</f>
        <v/>
      </c>
      <c r="C267" s="23">
        <f>IF(A267="","",YEAR(A267))</f>
        <v/>
      </c>
    </row>
    <row r="268">
      <c r="B268" s="24">
        <f>IF(A268="","",TEXT(A268,"MMMM"))</f>
        <v/>
      </c>
      <c r="C268" s="24">
        <f>IF(A268="","",YEAR(A268))</f>
        <v/>
      </c>
    </row>
    <row r="269">
      <c r="B269" s="23">
        <f>IF(A269="","",TEXT(A269,"MMMM"))</f>
        <v/>
      </c>
      <c r="C269" s="23">
        <f>IF(A269="","",YEAR(A269))</f>
        <v/>
      </c>
    </row>
    <row r="270">
      <c r="B270" s="24">
        <f>IF(A270="","",TEXT(A270,"MMMM"))</f>
        <v/>
      </c>
      <c r="C270" s="24">
        <f>IF(A270="","",YEAR(A270))</f>
        <v/>
      </c>
    </row>
    <row r="271">
      <c r="B271" s="23">
        <f>IF(A271="","",TEXT(A271,"MMMM"))</f>
        <v/>
      </c>
      <c r="C271" s="23">
        <f>IF(A271="","",YEAR(A271))</f>
        <v/>
      </c>
    </row>
    <row r="272">
      <c r="B272" s="24">
        <f>IF(A272="","",TEXT(A272,"MMMM"))</f>
        <v/>
      </c>
      <c r="C272" s="24">
        <f>IF(A272="","",YEAR(A272))</f>
        <v/>
      </c>
    </row>
    <row r="273">
      <c r="B273" s="23">
        <f>IF(A273="","",TEXT(A273,"MMMM"))</f>
        <v/>
      </c>
      <c r="C273" s="23">
        <f>IF(A273="","",YEAR(A273))</f>
        <v/>
      </c>
    </row>
    <row r="274">
      <c r="B274" s="24">
        <f>IF(A274="","",TEXT(A274,"MMMM"))</f>
        <v/>
      </c>
      <c r="C274" s="24">
        <f>IF(A274="","",YEAR(A274))</f>
        <v/>
      </c>
    </row>
    <row r="275">
      <c r="B275" s="23">
        <f>IF(A275="","",TEXT(A275,"MMMM"))</f>
        <v/>
      </c>
      <c r="C275" s="23">
        <f>IF(A275="","",YEAR(A275))</f>
        <v/>
      </c>
    </row>
    <row r="276">
      <c r="B276" s="24">
        <f>IF(A276="","",TEXT(A276,"MMMM"))</f>
        <v/>
      </c>
      <c r="C276" s="24">
        <f>IF(A276="","",YEAR(A276))</f>
        <v/>
      </c>
    </row>
    <row r="277">
      <c r="B277" s="23">
        <f>IF(A277="","",TEXT(A277,"MMMM"))</f>
        <v/>
      </c>
      <c r="C277" s="23">
        <f>IF(A277="","",YEAR(A277))</f>
        <v/>
      </c>
    </row>
    <row r="278">
      <c r="B278" s="24">
        <f>IF(A278="","",TEXT(A278,"MMMM"))</f>
        <v/>
      </c>
      <c r="C278" s="24">
        <f>IF(A278="","",YEAR(A278))</f>
        <v/>
      </c>
    </row>
    <row r="279">
      <c r="B279" s="23">
        <f>IF(A279="","",TEXT(A279,"MMMM"))</f>
        <v/>
      </c>
      <c r="C279" s="23">
        <f>IF(A279="","",YEAR(A279))</f>
        <v/>
      </c>
    </row>
    <row r="280">
      <c r="B280" s="24">
        <f>IF(A280="","",TEXT(A280,"MMMM"))</f>
        <v/>
      </c>
      <c r="C280" s="24">
        <f>IF(A280="","",YEAR(A280))</f>
        <v/>
      </c>
    </row>
    <row r="281">
      <c r="B281" s="23">
        <f>IF(A281="","",TEXT(A281,"MMMM"))</f>
        <v/>
      </c>
      <c r="C281" s="23">
        <f>IF(A281="","",YEAR(A281))</f>
        <v/>
      </c>
    </row>
    <row r="282">
      <c r="B282" s="24">
        <f>IF(A282="","",TEXT(A282,"MMMM"))</f>
        <v/>
      </c>
      <c r="C282" s="24">
        <f>IF(A282="","",YEAR(A282))</f>
        <v/>
      </c>
    </row>
    <row r="283">
      <c r="B283" s="23">
        <f>IF(A283="","",TEXT(A283,"MMMM"))</f>
        <v/>
      </c>
      <c r="C283" s="23">
        <f>IF(A283="","",YEAR(A283))</f>
        <v/>
      </c>
    </row>
    <row r="284">
      <c r="B284" s="24">
        <f>IF(A284="","",TEXT(A284,"MMMM"))</f>
        <v/>
      </c>
      <c r="C284" s="24">
        <f>IF(A284="","",YEAR(A284))</f>
        <v/>
      </c>
    </row>
    <row r="285">
      <c r="B285" s="23">
        <f>IF(A285="","",TEXT(A285,"MMMM"))</f>
        <v/>
      </c>
      <c r="C285" s="23">
        <f>IF(A285="","",YEAR(A285))</f>
        <v/>
      </c>
    </row>
    <row r="286">
      <c r="B286" s="24">
        <f>IF(A286="","",TEXT(A286,"MMMM"))</f>
        <v/>
      </c>
      <c r="C286" s="24">
        <f>IF(A286="","",YEAR(A286))</f>
        <v/>
      </c>
    </row>
    <row r="287">
      <c r="B287" s="23">
        <f>IF(A287="","",TEXT(A287,"MMMM"))</f>
        <v/>
      </c>
      <c r="C287" s="23">
        <f>IF(A287="","",YEAR(A287))</f>
        <v/>
      </c>
    </row>
    <row r="288">
      <c r="B288" s="24">
        <f>IF(A288="","",TEXT(A288,"MMMM"))</f>
        <v/>
      </c>
      <c r="C288" s="24">
        <f>IF(A288="","",YEAR(A288))</f>
        <v/>
      </c>
    </row>
    <row r="289">
      <c r="B289" s="23">
        <f>IF(A289="","",TEXT(A289,"MMMM"))</f>
        <v/>
      </c>
      <c r="C289" s="23">
        <f>IF(A289="","",YEAR(A289))</f>
        <v/>
      </c>
    </row>
    <row r="290">
      <c r="B290" s="24">
        <f>IF(A290="","",TEXT(A290,"MMMM"))</f>
        <v/>
      </c>
      <c r="C290" s="24">
        <f>IF(A290="","",YEAR(A290))</f>
        <v/>
      </c>
    </row>
    <row r="291">
      <c r="B291" s="23">
        <f>IF(A291="","",TEXT(A291,"MMMM"))</f>
        <v/>
      </c>
      <c r="C291" s="23">
        <f>IF(A291="","",YEAR(A291))</f>
        <v/>
      </c>
    </row>
    <row r="292">
      <c r="B292" s="24">
        <f>IF(A292="","",TEXT(A292,"MMMM"))</f>
        <v/>
      </c>
      <c r="C292" s="24">
        <f>IF(A292="","",YEAR(A292))</f>
        <v/>
      </c>
    </row>
    <row r="293">
      <c r="B293" s="23">
        <f>IF(A293="","",TEXT(A293,"MMMM"))</f>
        <v/>
      </c>
      <c r="C293" s="23">
        <f>IF(A293="","",YEAR(A293))</f>
        <v/>
      </c>
    </row>
    <row r="294">
      <c r="B294" s="24">
        <f>IF(A294="","",TEXT(A294,"MMMM"))</f>
        <v/>
      </c>
      <c r="C294" s="24">
        <f>IF(A294="","",YEAR(A294))</f>
        <v/>
      </c>
    </row>
    <row r="295">
      <c r="B295" s="23">
        <f>IF(A295="","",TEXT(A295,"MMMM"))</f>
        <v/>
      </c>
      <c r="C295" s="23">
        <f>IF(A295="","",YEAR(A295))</f>
        <v/>
      </c>
    </row>
    <row r="296">
      <c r="B296" s="24">
        <f>IF(A296="","",TEXT(A296,"MMMM"))</f>
        <v/>
      </c>
      <c r="C296" s="24">
        <f>IF(A296="","",YEAR(A296))</f>
        <v/>
      </c>
    </row>
    <row r="297">
      <c r="B297" s="23">
        <f>IF(A297="","",TEXT(A297,"MMMM"))</f>
        <v/>
      </c>
      <c r="C297" s="23">
        <f>IF(A297="","",YEAR(A297))</f>
        <v/>
      </c>
    </row>
    <row r="298">
      <c r="B298" s="24">
        <f>IF(A298="","",TEXT(A298,"MMMM"))</f>
        <v/>
      </c>
      <c r="C298" s="24">
        <f>IF(A298="","",YEAR(A298))</f>
        <v/>
      </c>
    </row>
    <row r="299">
      <c r="B299" s="23">
        <f>IF(A299="","",TEXT(A299,"MMMM"))</f>
        <v/>
      </c>
      <c r="C299" s="23">
        <f>IF(A299="","",YEAR(A299))</f>
        <v/>
      </c>
    </row>
    <row r="300">
      <c r="B300" s="24">
        <f>IF(A300="","",TEXT(A300,"MMMM"))</f>
        <v/>
      </c>
      <c r="C300" s="24">
        <f>IF(A300="","",YEAR(A300))</f>
        <v/>
      </c>
    </row>
  </sheetData>
  <autoFilter ref="A2:J2"/>
  <mergeCells count="1">
    <mergeCell ref="A1:J1"/>
  </mergeCells>
  <dataValidations count="3">
    <dataValidation sqref="D3:D1000" showDropDown="0" showInputMessage="0" showErrorMessage="0" allowBlank="1" type="list">
      <formula1>"Ingreso,Gasto"</formula1>
    </dataValidation>
    <dataValidation sqref="E3:E1000" showDropDown="0" showInputMessage="0" showErrorMessage="0" allowBlank="1" type="list">
      <formula1>ListaCategorias</formula1>
    </dataValidation>
    <dataValidation sqref="I3:I1000" showDropDown="0" showInputMessage="0" showErrorMessage="0" allowBlank="1" type="list">
      <formula1>"Efectivo,Tarjeta,Transferencia,Domiciliacion,Bizum"</formula1>
    </dataValidation>
  </dataValidations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F5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5" customWidth="1" min="2" max="2"/>
    <col width="16" customWidth="1" min="3" max="3"/>
    <col width="16" customWidth="1" min="4" max="4"/>
    <col width="35" customWidth="1" min="5" max="5"/>
  </cols>
  <sheetData>
    <row r="1" ht="30" customHeight="1">
      <c r="A1" s="1" t="inlineStr">
        <is>
          <t>PRESUPUESTO MENSUAL - JUNIO 2026</t>
        </is>
      </c>
    </row>
    <row r="3" ht="28" customHeight="1">
      <c r="A3" s="6" t="inlineStr">
        <is>
          <t>Ingreso neto mensual - MODIFICA AQUI CADA MES:</t>
        </is>
      </c>
      <c r="D3" s="25" t="n">
        <v>2000</v>
      </c>
    </row>
    <row r="4" ht="22" customHeight="1">
      <c r="A4" s="2" t="inlineStr">
        <is>
          <t>&gt;&gt;&gt; ESTA ES LA CELDA CLAVE: cambia D3 cada mes y todo el sistema se actualiza &lt;&lt;&lt;</t>
        </is>
      </c>
    </row>
    <row r="6">
      <c r="A6" s="1" t="inlineStr">
        <is>
          <t>GASTOS FIJOS MENSUALES</t>
        </is>
      </c>
    </row>
    <row r="7" ht="20" customHeight="1">
      <c r="A7" s="7" t="inlineStr">
        <is>
          <t>Concepto</t>
        </is>
      </c>
      <c r="B7" s="7" t="inlineStr">
        <is>
          <t>Categoria</t>
        </is>
      </c>
      <c r="C7" s="7" t="inlineStr">
        <is>
          <t>Importe</t>
        </is>
      </c>
      <c r="D7" s="7" t="inlineStr">
        <is>
          <t>% Ingreso</t>
        </is>
      </c>
      <c r="E7" s="7" t="inlineStr">
        <is>
          <t>Estado</t>
        </is>
      </c>
    </row>
    <row r="8">
      <c r="A8" s="10" t="inlineStr">
        <is>
          <t>Piso</t>
        </is>
      </c>
      <c r="B8" s="10" t="inlineStr">
        <is>
          <t>Vivienda</t>
        </is>
      </c>
      <c r="C8" s="17" t="n">
        <v>1000</v>
      </c>
      <c r="D8" s="18">
        <f>C8/$D$3</f>
        <v/>
      </c>
      <c r="E8" s="24" t="inlineStr">
        <is>
          <t>Fijo</t>
        </is>
      </c>
    </row>
    <row r="9">
      <c r="A9" s="5" t="inlineStr">
        <is>
          <t>Coche</t>
        </is>
      </c>
      <c r="B9" s="5" t="inlineStr">
        <is>
          <t>Transporte</t>
        </is>
      </c>
      <c r="C9" s="19" t="n">
        <v>450</v>
      </c>
      <c r="D9" s="20">
        <f>C9/$D$3</f>
        <v/>
      </c>
      <c r="E9" s="23" t="inlineStr">
        <is>
          <t>Fijo</t>
        </is>
      </c>
    </row>
    <row r="10">
      <c r="A10" s="10" t="inlineStr">
        <is>
          <t>Gimnasio</t>
        </is>
      </c>
      <c r="B10" s="10" t="inlineStr">
        <is>
          <t>Salud/Deporte</t>
        </is>
      </c>
      <c r="C10" s="17" t="n">
        <v>25</v>
      </c>
      <c r="D10" s="18">
        <f>C10/$D$3</f>
        <v/>
      </c>
      <c r="E10" s="24" t="inlineStr">
        <is>
          <t>Fijo</t>
        </is>
      </c>
    </row>
    <row r="11">
      <c r="A11" s="5" t="inlineStr">
        <is>
          <t>TraderLab</t>
        </is>
      </c>
      <c r="B11" s="5" t="inlineStr">
        <is>
          <t>Formacion</t>
        </is>
      </c>
      <c r="C11" s="19" t="n">
        <v>100</v>
      </c>
      <c r="D11" s="20">
        <f>C11/$D$3</f>
        <v/>
      </c>
      <c r="E11" s="23" t="inlineStr">
        <is>
          <t>Fijo</t>
        </is>
      </c>
    </row>
    <row r="12">
      <c r="A12" s="4" t="inlineStr">
        <is>
          <t>TOTAL GASTOS FIJOS</t>
        </is>
      </c>
      <c r="B12" s="2" t="inlineStr"/>
      <c r="C12" s="21">
        <f>SUM(C8:C11)</f>
        <v/>
      </c>
      <c r="D12" s="22">
        <f>C12/$D$3</f>
        <v/>
      </c>
    </row>
    <row r="14">
      <c r="A14" s="1" t="inlineStr">
        <is>
          <t>DISTRIBUCION AUTOMATICA - SISTEMA INVERSOR (IMPORTES FIJOS)</t>
        </is>
      </c>
    </row>
    <row r="15">
      <c r="A15" s="7" t="inlineStr">
        <is>
          <t>Concepto</t>
        </is>
      </c>
      <c r="B15" s="7" t="inlineStr">
        <is>
          <t>Importe fijo/mes</t>
        </is>
      </c>
      <c r="C15" s="7" t="inlineStr">
        <is>
          <t>Importe</t>
        </is>
      </c>
      <c r="D15" s="7" t="inlineStr">
        <is>
          <t>Objetivo anual</t>
        </is>
      </c>
      <c r="E15" s="7" t="inlineStr">
        <is>
          <t>Descripcion</t>
        </is>
      </c>
    </row>
    <row r="16">
      <c r="A16" s="9" t="inlineStr">
        <is>
          <t>Ingreso disponible (tras fijos)</t>
        </is>
      </c>
      <c r="C16" s="17">
        <f>$D$3-C12</f>
        <v/>
      </c>
      <c r="E16" s="10" t="inlineStr">
        <is>
          <t>Base real = Ingreso - Gastos fijos</t>
        </is>
      </c>
    </row>
    <row r="17">
      <c r="A17" s="8" t="inlineStr">
        <is>
          <t>Bankroll (inversion trading)</t>
        </is>
      </c>
      <c r="B17" s="25" t="n">
        <v>100</v>
      </c>
      <c r="C17" s="19">
        <f>B17</f>
        <v/>
      </c>
      <c r="D17" s="19">
        <f>B17*12</f>
        <v/>
      </c>
      <c r="E17" s="5" t="inlineStr">
        <is>
          <t>Fijo minimo garantizado cada mes</t>
        </is>
      </c>
    </row>
    <row r="18">
      <c r="A18" s="9" t="inlineStr">
        <is>
          <t>Ahorro (fondo personal)</t>
        </is>
      </c>
      <c r="B18" s="25" t="n">
        <v>100</v>
      </c>
      <c r="C18" s="17">
        <f>B18</f>
        <v/>
      </c>
      <c r="D18" s="17">
        <f>B18*12</f>
        <v/>
      </c>
      <c r="E18" s="10" t="inlineStr">
        <is>
          <t>Fijo minimo garantizado cada mes</t>
        </is>
      </c>
    </row>
    <row r="19">
      <c r="A19" s="8" t="inlineStr">
        <is>
          <t>Caprichos y ocio (% del sobrante)</t>
        </is>
      </c>
      <c r="B19" s="26" t="n">
        <v>0.2</v>
      </c>
      <c r="C19" s="19">
        <f>MAX(0,($D$3-C12-B17-B18)*B19)</f>
        <v/>
      </c>
      <c r="D19" s="19">
        <f>C19*12</f>
        <v/>
      </c>
      <c r="E19" s="5" t="inlineStr">
        <is>
          <t>20% del sobrante real del mes</t>
        </is>
      </c>
    </row>
    <row r="21">
      <c r="A21" s="1" t="inlineStr">
        <is>
          <t>RESUMEN Y DISPONIBLE</t>
        </is>
      </c>
    </row>
    <row r="22">
      <c r="A22" s="7" t="inlineStr">
        <is>
          <t>Concepto</t>
        </is>
      </c>
      <c r="C22" s="7" t="inlineStr">
        <is>
          <t>Importe</t>
        </is>
      </c>
    </row>
    <row r="23">
      <c r="A23" s="10" t="inlineStr">
        <is>
          <t>Ingreso neto mensual</t>
        </is>
      </c>
      <c r="C23" s="17">
        <f>$D$3</f>
        <v/>
      </c>
    </row>
    <row r="24">
      <c r="A24" s="5" t="inlineStr">
        <is>
          <t>(-) Total gastos fijos</t>
        </is>
      </c>
      <c r="C24" s="19">
        <f>-C12</f>
        <v/>
      </c>
    </row>
    <row r="25">
      <c r="A25" s="10" t="inlineStr">
        <is>
          <t>(-) Bankroll (fijo)</t>
        </is>
      </c>
      <c r="C25" s="17">
        <f>-C17</f>
        <v/>
      </c>
    </row>
    <row r="26">
      <c r="A26" s="5" t="inlineStr">
        <is>
          <t>(-) Ahorro (fijo)</t>
        </is>
      </c>
      <c r="C26" s="19">
        <f>-C18</f>
        <v/>
      </c>
    </row>
    <row r="27">
      <c r="A27" s="10" t="inlineStr">
        <is>
          <t>(-) Caprichos (% sobrante)</t>
        </is>
      </c>
      <c r="C27" s="17">
        <f>-C19</f>
        <v/>
      </c>
    </row>
    <row r="28">
      <c r="A28" s="4" t="inlineStr">
        <is>
          <t>DISPONIBLE RESTANTE (reserva flexible)</t>
        </is>
      </c>
      <c r="C28" s="21">
        <f>SUM(C23:C27)</f>
        <v/>
      </c>
    </row>
    <row r="29">
      <c r="A29" s="4" t="inlineStr">
        <is>
          <t>% Gastado fijos / ingreso</t>
        </is>
      </c>
      <c r="C29" s="22">
        <f>C12/$D$3</f>
        <v/>
      </c>
    </row>
    <row r="30">
      <c r="A30" s="4" t="inlineStr">
        <is>
          <t>Total comprometido (fijos+BK+ahorro+cap)</t>
        </is>
      </c>
      <c r="C30" s="21">
        <f>C12+C17+C18+C19</f>
        <v/>
      </c>
    </row>
    <row r="32">
      <c r="A32" s="1" t="inlineStr">
        <is>
          <t>ESTADO DEL PRESUPUESTO</t>
        </is>
      </c>
    </row>
    <row r="33">
      <c r="A33" s="9" t="inlineStr">
        <is>
          <t>Umbral minimo de ingreso:</t>
        </is>
      </c>
      <c r="B33" s="10">
        <f>TEXT(C12+B17+B18,"#,##0.00")&amp;" EUR (fijos + BK + ahorro)"</f>
        <v/>
      </c>
    </row>
    <row r="34">
      <c r="A34" s="9" t="inlineStr">
        <is>
          <t>Alerta de ingreso:</t>
        </is>
      </c>
      <c r="B34" s="10">
        <f>IF($D$3&gt;=(C12+B17+B18),"OK - Ingresos suficientes para cubrir todos los compromisos","ATENCION: Ingreso por debajo del umbral minimo - reduce BK o ahorro este mes")</f>
        <v/>
      </c>
    </row>
    <row r="35">
      <c r="A35" s="9" t="inlineStr">
        <is>
          <t>Disponible restante:</t>
        </is>
      </c>
      <c r="B35" s="10">
        <f>TEXT(C28,"#,##0.00")&amp;" EUR de reserva flexible este mes"</f>
        <v/>
      </c>
    </row>
    <row r="36">
      <c r="A36" s="9" t="inlineStr">
        <is>
          <t>Progreso gastos fijos:</t>
        </is>
      </c>
      <c r="B36" s="10">
        <f>TEXT(C29,"0.0%")&amp;" del ingreso en gastos fijos"</f>
        <v/>
      </c>
    </row>
    <row r="38" ht="25" customHeight="1">
      <c r="A38" s="1" t="inlineStr">
        <is>
          <t>SEGUIMIENTO REAL DEL MES ACTUAL  (actualizado automaticamente desde REGISTRO DE MOVIMIENTOS)</t>
        </is>
      </c>
    </row>
    <row r="39">
      <c r="A39" s="7" t="inlineStr">
        <is>
          <t>Categoria / Concepto</t>
        </is>
      </c>
      <c r="B39" s="7" t="inlineStr">
        <is>
          <t>Presupuestado</t>
        </is>
      </c>
      <c r="C39" s="7" t="inlineStr">
        <is>
          <t>Gastado Real (mes)</t>
        </is>
      </c>
      <c r="D39" s="7" t="inlineStr">
        <is>
          <t>Diferencia</t>
        </is>
      </c>
      <c r="E39" s="7" t="inlineStr">
        <is>
          <t>Estado</t>
        </is>
      </c>
    </row>
    <row r="40">
      <c r="A40" s="9" t="inlineStr">
        <is>
          <t>Vivienda/Alquiler</t>
        </is>
      </c>
      <c r="B40" s="17">
        <f>C8</f>
        <v/>
      </c>
      <c r="C40" s="17">
        <f>SUMPRODUCT((ISNUMBER('REGISTRO DE MOVIMIENTOS'!$A$3:$A$500))*(MONTH(IF(ISNUMBER('REGISTRO DE MOVIMIENTOS'!$A$3:$A$500),'REGISTRO DE MOVIMIENTOS'!$A$3:$A$500,TODAY()))=MONTH(TODAY()))*(YEAR(IF(ISNUMBER('REGISTRO DE MOVIMIENTOS'!$A$3:$A$500),'REGISTRO DE MOVIMIENTOS'!$A$3:$A$500,TODAY()))=YEAR(TODAY()))*('REGISTRO DE MOVIMIENTOS'!$D$3:$D$500="Gasto")*('REGISTRO DE MOVIMIENTOS'!$E$3:$E$500="Vivienda/Alquiler")*('REGISTRO DE MOVIMIENTOS'!$H$3:$H$500))</f>
        <v/>
      </c>
      <c r="D40" s="17">
        <f>B40-C40</f>
        <v/>
      </c>
      <c r="E40" s="24">
        <f>IF(B40=0,"Sin limite",IF(C40&lt;=B40,"OK","EXCEDIDO"))</f>
        <v/>
      </c>
    </row>
    <row r="41">
      <c r="A41" s="8" t="inlineStr">
        <is>
          <t>Coche/Transporte</t>
        </is>
      </c>
      <c r="B41" s="19">
        <f>C9</f>
        <v/>
      </c>
      <c r="C41" s="19">
        <f>SUMPRODUCT((ISNUMBER('REGISTRO DE MOVIMIENTOS'!$A$3:$A$500))*(MONTH(IF(ISNUMBER('REGISTRO DE MOVIMIENTOS'!$A$3:$A$500),'REGISTRO DE MOVIMIENTOS'!$A$3:$A$500,TODAY()))=MONTH(TODAY()))*(YEAR(IF(ISNUMBER('REGISTRO DE MOVIMIENTOS'!$A$3:$A$500),'REGISTRO DE MOVIMIENTOS'!$A$3:$A$500,TODAY()))=YEAR(TODAY()))*('REGISTRO DE MOVIMIENTOS'!$D$3:$D$500="Gasto")*('REGISTRO DE MOVIMIENTOS'!$E$3:$E$500="Coche/Transporte")*('REGISTRO DE MOVIMIENTOS'!$H$3:$H$500))</f>
        <v/>
      </c>
      <c r="D41" s="19">
        <f>B41-C41</f>
        <v/>
      </c>
      <c r="E41" s="23">
        <f>IF(B41=0,"Sin limite",IF(C41&lt;=B41,"OK","EXCEDIDO"))</f>
        <v/>
      </c>
    </row>
    <row r="42">
      <c r="A42" s="9" t="inlineStr">
        <is>
          <t>Gasolina</t>
        </is>
      </c>
      <c r="B42" s="17" t="n">
        <v>0</v>
      </c>
      <c r="C42" s="17">
        <f>SUMPRODUCT((ISNUMBER('REGISTRO DE MOVIMIENTOS'!$A$3:$A$500))*(MONTH(IF(ISNUMBER('REGISTRO DE MOVIMIENTOS'!$A$3:$A$500),'REGISTRO DE MOVIMIENTOS'!$A$3:$A$500,TODAY()))=MONTH(TODAY()))*(YEAR(IF(ISNUMBER('REGISTRO DE MOVIMIENTOS'!$A$3:$A$500),'REGISTRO DE MOVIMIENTOS'!$A$3:$A$500,TODAY()))=YEAR(TODAY()))*('REGISTRO DE MOVIMIENTOS'!$D$3:$D$500="Gasto")*('REGISTRO DE MOVIMIENTOS'!$E$3:$E$500="Gasolina")*('REGISTRO DE MOVIMIENTOS'!$H$3:$H$500))</f>
        <v/>
      </c>
      <c r="D42" s="17">
        <f>B42-C42</f>
        <v/>
      </c>
      <c r="E42" s="24">
        <f>IF(B42=0,"Sin limite",IF(C42&lt;=B42,"OK","EXCEDIDO"))</f>
        <v/>
      </c>
    </row>
    <row r="43">
      <c r="A43" s="8" t="inlineStr">
        <is>
          <t>Supermercado</t>
        </is>
      </c>
      <c r="B43" s="19" t="n">
        <v>0</v>
      </c>
      <c r="C43" s="19">
        <f>SUMPRODUCT((ISNUMBER('REGISTRO DE MOVIMIENTOS'!$A$3:$A$500))*(MONTH(IF(ISNUMBER('REGISTRO DE MOVIMIENTOS'!$A$3:$A$500),'REGISTRO DE MOVIMIENTOS'!$A$3:$A$500,TODAY()))=MONTH(TODAY()))*(YEAR(IF(ISNUMBER('REGISTRO DE MOVIMIENTOS'!$A$3:$A$500),'REGISTRO DE MOVIMIENTOS'!$A$3:$A$500,TODAY()))=YEAR(TODAY()))*('REGISTRO DE MOVIMIENTOS'!$D$3:$D$500="Gasto")*('REGISTRO DE MOVIMIENTOS'!$E$3:$E$500="Supermercado")*('REGISTRO DE MOVIMIENTOS'!$H$3:$H$500))</f>
        <v/>
      </c>
      <c r="D43" s="19">
        <f>B43-C43</f>
        <v/>
      </c>
      <c r="E43" s="23">
        <f>IF(B43=0,"Sin limite",IF(C43&lt;=B43,"OK","EXCEDIDO"))</f>
        <v/>
      </c>
    </row>
    <row r="44">
      <c r="A44" s="9" t="inlineStr">
        <is>
          <t>Restaurante</t>
        </is>
      </c>
      <c r="B44" s="17" t="n">
        <v>0</v>
      </c>
      <c r="C44" s="17">
        <f>SUMPRODUCT((ISNUMBER('REGISTRO DE MOVIMIENTOS'!$A$3:$A$500))*(MONTH(IF(ISNUMBER('REGISTRO DE MOVIMIENTOS'!$A$3:$A$500),'REGISTRO DE MOVIMIENTOS'!$A$3:$A$500,TODAY()))=MONTH(TODAY()))*(YEAR(IF(ISNUMBER('REGISTRO DE MOVIMIENTOS'!$A$3:$A$500),'REGISTRO DE MOVIMIENTOS'!$A$3:$A$500,TODAY()))=YEAR(TODAY()))*('REGISTRO DE MOVIMIENTOS'!$D$3:$D$500="Gasto")*('REGISTRO DE MOVIMIENTOS'!$E$3:$E$500="Restaurante")*('REGISTRO DE MOVIMIENTOS'!$H$3:$H$500))</f>
        <v/>
      </c>
      <c r="D44" s="17">
        <f>B44-C44</f>
        <v/>
      </c>
      <c r="E44" s="24">
        <f>IF(B44=0,"Sin limite",IF(C44&lt;=B44,"OK","EXCEDIDO"))</f>
        <v/>
      </c>
    </row>
    <row r="45">
      <c r="A45" s="8" t="inlineStr">
        <is>
          <t>Cafeteria/Bar</t>
        </is>
      </c>
      <c r="B45" s="19" t="n">
        <v>0</v>
      </c>
      <c r="C45" s="19">
        <f>SUMPRODUCT((ISNUMBER('REGISTRO DE MOVIMIENTOS'!$A$3:$A$500))*(MONTH(IF(ISNUMBER('REGISTRO DE MOVIMIENTOS'!$A$3:$A$500),'REGISTRO DE MOVIMIENTOS'!$A$3:$A$500,TODAY()))=MONTH(TODAY()))*(YEAR(IF(ISNUMBER('REGISTRO DE MOVIMIENTOS'!$A$3:$A$500),'REGISTRO DE MOVIMIENTOS'!$A$3:$A$500,TODAY()))=YEAR(TODAY()))*('REGISTRO DE MOVIMIENTOS'!$D$3:$D$500="Gasto")*('REGISTRO DE MOVIMIENTOS'!$E$3:$E$500="Cafeteria/Bar")*('REGISTRO DE MOVIMIENTOS'!$H$3:$H$500))</f>
        <v/>
      </c>
      <c r="D45" s="19">
        <f>B45-C45</f>
        <v/>
      </c>
      <c r="E45" s="23">
        <f>IF(B45=0,"Sin limite",IF(C45&lt;=B45,"OK","EXCEDIDO"))</f>
        <v/>
      </c>
    </row>
    <row r="46">
      <c r="A46" s="9" t="inlineStr">
        <is>
          <t>Ocio/Entretenimiento</t>
        </is>
      </c>
      <c r="B46" s="17" t="n">
        <v>0</v>
      </c>
      <c r="C46" s="17">
        <f>SUMPRODUCT((ISNUMBER('REGISTRO DE MOVIMIENTOS'!$A$3:$A$500))*(MONTH(IF(ISNUMBER('REGISTRO DE MOVIMIENTOS'!$A$3:$A$500),'REGISTRO DE MOVIMIENTOS'!$A$3:$A$500,TODAY()))=MONTH(TODAY()))*(YEAR(IF(ISNUMBER('REGISTRO DE MOVIMIENTOS'!$A$3:$A$500),'REGISTRO DE MOVIMIENTOS'!$A$3:$A$500,TODAY()))=YEAR(TODAY()))*('REGISTRO DE MOVIMIENTOS'!$D$3:$D$500="Gasto")*('REGISTRO DE MOVIMIENTOS'!$E$3:$E$500="Ocio/Entretenimiento")*('REGISTRO DE MOVIMIENTOS'!$H$3:$H$500))</f>
        <v/>
      </c>
      <c r="D46" s="17">
        <f>B46-C46</f>
        <v/>
      </c>
      <c r="E46" s="24">
        <f>IF(B46=0,"Sin limite",IF(C46&lt;=B46,"OK","EXCEDIDO"))</f>
        <v/>
      </c>
    </row>
    <row r="47">
      <c r="A47" s="8" t="inlineStr">
        <is>
          <t>Ropa/Calzado</t>
        </is>
      </c>
      <c r="B47" s="19" t="n">
        <v>0</v>
      </c>
      <c r="C47" s="19">
        <f>SUMPRODUCT((ISNUMBER('REGISTRO DE MOVIMIENTOS'!$A$3:$A$500))*(MONTH(IF(ISNUMBER('REGISTRO DE MOVIMIENTOS'!$A$3:$A$500),'REGISTRO DE MOVIMIENTOS'!$A$3:$A$500,TODAY()))=MONTH(TODAY()))*(YEAR(IF(ISNUMBER('REGISTRO DE MOVIMIENTOS'!$A$3:$A$500),'REGISTRO DE MOVIMIENTOS'!$A$3:$A$500,TODAY()))=YEAR(TODAY()))*('REGISTRO DE MOVIMIENTOS'!$D$3:$D$500="Gasto")*('REGISTRO DE MOVIMIENTOS'!$E$3:$E$500="Ropa/Calzado")*('REGISTRO DE MOVIMIENTOS'!$H$3:$H$500))</f>
        <v/>
      </c>
      <c r="D47" s="19">
        <f>B47-C47</f>
        <v/>
      </c>
      <c r="E47" s="23">
        <f>IF(B47=0,"Sin limite",IF(C47&lt;=B47,"OK","EXCEDIDO"))</f>
        <v/>
      </c>
    </row>
    <row r="48">
      <c r="A48" s="9" t="inlineStr">
        <is>
          <t>Farmacia/Salud</t>
        </is>
      </c>
      <c r="B48" s="17" t="n">
        <v>0</v>
      </c>
      <c r="C48" s="17">
        <f>SUMPRODUCT((ISNUMBER('REGISTRO DE MOVIMIENTOS'!$A$3:$A$500))*(MONTH(IF(ISNUMBER('REGISTRO DE MOVIMIENTOS'!$A$3:$A$500),'REGISTRO DE MOVIMIENTOS'!$A$3:$A$500,TODAY()))=MONTH(TODAY()))*(YEAR(IF(ISNUMBER('REGISTRO DE MOVIMIENTOS'!$A$3:$A$500),'REGISTRO DE MOVIMIENTOS'!$A$3:$A$500,TODAY()))=YEAR(TODAY()))*('REGISTRO DE MOVIMIENTOS'!$D$3:$D$500="Gasto")*('REGISTRO DE MOVIMIENTOS'!$E$3:$E$500="Farmacia/Salud")*('REGISTRO DE MOVIMIENTOS'!$H$3:$H$500))</f>
        <v/>
      </c>
      <c r="D48" s="17">
        <f>B48-C48</f>
        <v/>
      </c>
      <c r="E48" s="24">
        <f>IF(B48=0,"Sin limite",IF(C48&lt;=B48,"OK","EXCEDIDO"))</f>
        <v/>
      </c>
    </row>
    <row r="49">
      <c r="A49" s="8" t="inlineStr">
        <is>
          <t>Deporte/Gimnasio</t>
        </is>
      </c>
      <c r="B49" s="19">
        <f>C10</f>
        <v/>
      </c>
      <c r="C49" s="19">
        <f>SUMPRODUCT((ISNUMBER('REGISTRO DE MOVIMIENTOS'!$A$3:$A$500))*(MONTH(IF(ISNUMBER('REGISTRO DE MOVIMIENTOS'!$A$3:$A$500),'REGISTRO DE MOVIMIENTOS'!$A$3:$A$500,TODAY()))=MONTH(TODAY()))*(YEAR(IF(ISNUMBER('REGISTRO DE MOVIMIENTOS'!$A$3:$A$500),'REGISTRO DE MOVIMIENTOS'!$A$3:$A$500,TODAY()))=YEAR(TODAY()))*('REGISTRO DE MOVIMIENTOS'!$D$3:$D$500="Gasto")*('REGISTRO DE MOVIMIENTOS'!$E$3:$E$500="Deporte/Gimnasio")*('REGISTRO DE MOVIMIENTOS'!$H$3:$H$500))</f>
        <v/>
      </c>
      <c r="D49" s="19">
        <f>B49-C49</f>
        <v/>
      </c>
      <c r="E49" s="23">
        <f>IF(B49=0,"Sin limite",IF(C49&lt;=B49,"OK","EXCEDIDO"))</f>
        <v/>
      </c>
    </row>
    <row r="50">
      <c r="A50" s="9" t="inlineStr">
        <is>
          <t>Formacion/Suscripciones</t>
        </is>
      </c>
      <c r="B50" s="17">
        <f>C11</f>
        <v/>
      </c>
      <c r="C50" s="17">
        <f>SUMPRODUCT((ISNUMBER('REGISTRO DE MOVIMIENTOS'!$A$3:$A$500))*(MONTH(IF(ISNUMBER('REGISTRO DE MOVIMIENTOS'!$A$3:$A$500),'REGISTRO DE MOVIMIENTOS'!$A$3:$A$500,TODAY()))=MONTH(TODAY()))*(YEAR(IF(ISNUMBER('REGISTRO DE MOVIMIENTOS'!$A$3:$A$500),'REGISTRO DE MOVIMIENTOS'!$A$3:$A$500,TODAY()))=YEAR(TODAY()))*('REGISTRO DE MOVIMIENTOS'!$D$3:$D$500="Gasto")*('REGISTRO DE MOVIMIENTOS'!$E$3:$E$500="Formacion/Suscripciones")*('REGISTRO DE MOVIMIENTOS'!$H$3:$H$500))</f>
        <v/>
      </c>
      <c r="D50" s="17">
        <f>B50-C50</f>
        <v/>
      </c>
      <c r="E50" s="24">
        <f>IF(B50=0,"Sin limite",IF(C50&lt;=B50,"OK","EXCEDIDO"))</f>
        <v/>
      </c>
    </row>
    <row r="51">
      <c r="A51" s="8" t="inlineStr">
        <is>
          <t>Ahorro</t>
        </is>
      </c>
      <c r="B51" s="19">
        <f>B18</f>
        <v/>
      </c>
      <c r="C51" s="19">
        <f>SUMPRODUCT((ISNUMBER('REGISTRO DE MOVIMIENTOS'!$A$3:$A$500))*(MONTH(IF(ISNUMBER('REGISTRO DE MOVIMIENTOS'!$A$3:$A$500),'REGISTRO DE MOVIMIENTOS'!$A$3:$A$500,TODAY()))=MONTH(TODAY()))*(YEAR(IF(ISNUMBER('REGISTRO DE MOVIMIENTOS'!$A$3:$A$500),'REGISTRO DE MOVIMIENTOS'!$A$3:$A$500,TODAY()))=YEAR(TODAY()))*('REGISTRO DE MOVIMIENTOS'!$D$3:$D$500="Gasto")*('REGISTRO DE MOVIMIENTOS'!$E$3:$E$500="Ahorro")*('REGISTRO DE MOVIMIENTOS'!$H$3:$H$500))</f>
        <v/>
      </c>
      <c r="D51" s="19">
        <f>B51-C51</f>
        <v/>
      </c>
      <c r="E51" s="23">
        <f>IF(B51=0,"Sin limite",IF(C51&lt;=B51,"OK","EXCEDIDO"))</f>
        <v/>
      </c>
    </row>
    <row r="52">
      <c r="A52" s="9" t="inlineStr">
        <is>
          <t>Bankroll</t>
        </is>
      </c>
      <c r="B52" s="17">
        <f>B17</f>
        <v/>
      </c>
      <c r="C52" s="17">
        <f>SUMPRODUCT((ISNUMBER('REGISTRO DE MOVIMIENTOS'!$A$3:$A$500))*(MONTH(IF(ISNUMBER('REGISTRO DE MOVIMIENTOS'!$A$3:$A$500),'REGISTRO DE MOVIMIENTOS'!$A$3:$A$500,TODAY()))=MONTH(TODAY()))*(YEAR(IF(ISNUMBER('REGISTRO DE MOVIMIENTOS'!$A$3:$A$500),'REGISTRO DE MOVIMIENTOS'!$A$3:$A$500,TODAY()))=YEAR(TODAY()))*('REGISTRO DE MOVIMIENTOS'!$D$3:$D$500="Gasto")*('REGISTRO DE MOVIMIENTOS'!$E$3:$E$500="Bankroll")*('REGISTRO DE MOVIMIENTOS'!$H$3:$H$500))</f>
        <v/>
      </c>
      <c r="D52" s="17">
        <f>B52-C52</f>
        <v/>
      </c>
      <c r="E52" s="24">
        <f>IF(B52=0,"Sin limite",IF(C52&lt;=B52,"OK","EXCEDIDO"))</f>
        <v/>
      </c>
    </row>
    <row r="53">
      <c r="A53" s="8" t="inlineStr">
        <is>
          <t>Otros</t>
        </is>
      </c>
      <c r="B53" s="19" t="n">
        <v>0</v>
      </c>
      <c r="C53" s="19">
        <f>SUMPRODUCT((ISNUMBER('REGISTRO DE MOVIMIENTOS'!$A$3:$A$500))*(MONTH(IF(ISNUMBER('REGISTRO DE MOVIMIENTOS'!$A$3:$A$500),'REGISTRO DE MOVIMIENTOS'!$A$3:$A$500,TODAY()))=MONTH(TODAY()))*(YEAR(IF(ISNUMBER('REGISTRO DE MOVIMIENTOS'!$A$3:$A$500),'REGISTRO DE MOVIMIENTOS'!$A$3:$A$500,TODAY()))=YEAR(TODAY()))*('REGISTRO DE MOVIMIENTOS'!$D$3:$D$500="Gasto")*('REGISTRO DE MOVIMIENTOS'!$E$3:$E$500="Otros")*('REGISTRO DE MOVIMIENTOS'!$H$3:$H$500))</f>
        <v/>
      </c>
      <c r="D53" s="19">
        <f>B53-C53</f>
        <v/>
      </c>
      <c r="E53" s="23">
        <f>IF(B53=0,"Sin limite",IF(C53&lt;=B53,"OK","EXCEDIDO"))</f>
        <v/>
      </c>
    </row>
    <row r="54">
      <c r="A54" s="4" t="inlineStr">
        <is>
          <t>TOTAL GASTOS REALES DEL MES</t>
        </is>
      </c>
      <c r="C54" s="21">
        <f>SUMPRODUCT((ISNUMBER('REGISTRO DE MOVIMIENTOS'!$A$3:$A$500))*(MONTH(IF(ISNUMBER('REGISTRO DE MOVIMIENTOS'!$A$3:$A$500),'REGISTRO DE MOVIMIENTOS'!$A$3:$A$500,TODAY()))=MONTH(TODAY()))*(YEAR(IF(ISNUMBER('REGISTRO DE MOVIMIENTOS'!$A$3:$A$500),'REGISTRO DE MOVIMIENTOS'!$A$3:$A$500,TODAY()))=YEAR(TODAY()))*('REGISTRO DE MOVIMIENTOS'!$D$3:$D$500="Gasto")*('REGISTRO DE MOVIMIENTOS'!$H$3:$H$500))</f>
        <v/>
      </c>
      <c r="D54" s="21">
        <f>$D$3-C54</f>
        <v/>
      </c>
      <c r="E54" s="4">
        <f>IF(C54&lt;=$D$3,"Dentro del ingreso","SUPERA EL INGRESO")</f>
        <v/>
      </c>
    </row>
    <row r="55">
      <c r="A55" s="9" t="inlineStr">
        <is>
          <t>TOTAL INGRESOS REGISTRADOS DEL MES</t>
        </is>
      </c>
      <c r="C55" s="17">
        <f>SUMPRODUCT((ISNUMBER('REGISTRO DE MOVIMIENTOS'!$A$3:$A$500))*(MONTH(IF(ISNUMBER('REGISTRO DE MOVIMIENTOS'!$A$3:$A$500),'REGISTRO DE MOVIMIENTOS'!$A$3:$A$500,TODAY()))=MONTH(TODAY()))*(YEAR(IF(ISNUMBER('REGISTRO DE MOVIMIENTOS'!$A$3:$A$500),'REGISTRO DE MOVIMIENTOS'!$A$3:$A$500,TODAY()))=YEAR(TODAY()))*('REGISTRO DE MOVIMIENTOS'!$D$3:$D$500="Ingreso")*('REGISTRO DE MOVIMIENTOS'!$H$3:$H$500))</f>
        <v/>
      </c>
    </row>
    <row r="56">
      <c r="A56" s="9" t="inlineStr">
        <is>
          <t>% del presupuesto ejecutado (gastos / ingreso)</t>
        </is>
      </c>
      <c r="C56" s="18">
        <f>IFERROR(C54/$D$3,0)</f>
        <v/>
      </c>
    </row>
  </sheetData>
  <mergeCells count="12">
    <mergeCell ref="B35:E35"/>
    <mergeCell ref="A38:E38"/>
    <mergeCell ref="A14:F14"/>
    <mergeCell ref="A1:F1"/>
    <mergeCell ref="A32:F32"/>
    <mergeCell ref="A6:F6"/>
    <mergeCell ref="B33:E33"/>
    <mergeCell ref="A3:C3"/>
    <mergeCell ref="A4:F4"/>
    <mergeCell ref="B34:E34"/>
    <mergeCell ref="A21:F21"/>
    <mergeCell ref="B36:E36"/>
  </mergeCells>
  <conditionalFormatting sqref="C28">
    <cfRule type="cellIs" priority="1" operator="greaterThan" dxfId="0">
      <formula>0</formula>
    </cfRule>
    <cfRule type="cellIs" priority="2" operator="lessThanOrEqual" dxfId="1">
      <formula>0</formula>
    </cfRule>
  </conditionalFormatting>
  <conditionalFormatting sqref="C29">
    <cfRule type="cellIs" priority="3" operator="greaterThan" dxfId="2">
      <formula>1</formula>
    </cfRule>
    <cfRule type="cellIs" priority="4" operator="between" dxfId="3">
      <formula>0.9</formula>
      <formula>1</formula>
    </cfRule>
    <cfRule type="cellIs" priority="5" operator="lessThanOrEqual" dxfId="4">
      <formula>0.9</formula>
    </cfRule>
  </conditionalFormatting>
  <pageMargins left="0.75" right="0.75" top="1" bottom="1" header="0.5" footer="0.5"/>
  <pageSetup orientation="landscape" fitToWidth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F14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CONTROL DE AHORRO - EVOLUCION ACUMULADA</t>
        </is>
      </c>
    </row>
    <row r="2">
      <c r="A2" s="7" t="inlineStr">
        <is>
          <t>Fecha</t>
        </is>
      </c>
      <c r="B2" s="7" t="inlineStr">
        <is>
          <t>Mes</t>
        </is>
      </c>
      <c r="C2" s="7" t="inlineStr">
        <is>
          <t>Anio</t>
        </is>
      </c>
      <c r="D2" s="7" t="inlineStr">
        <is>
          <t>Cantidad (EUR)</t>
        </is>
      </c>
      <c r="E2" s="7" t="inlineStr">
        <is>
          <t>Acumulado (EUR)</t>
        </is>
      </c>
      <c r="F2" s="7" t="inlineStr">
        <is>
          <t>Tasa Ahorro %</t>
        </is>
      </c>
    </row>
    <row r="6">
      <c r="A6" s="1" t="inlineStr">
        <is>
          <t>RESUMEN ANUAL 2026</t>
        </is>
      </c>
    </row>
    <row r="7">
      <c r="A7" s="9" t="inlineStr">
        <is>
          <t>Total ahorrado anio 2026</t>
        </is>
      </c>
      <c r="B7" s="17">
        <f>SUMPRODUCT((ISNUMBER(A3:A1000))*(YEAR(IF(ISNUMBER(A3:A1000),A3:A1000,TODAY()))=2026)*(D3:D1000))</f>
        <v/>
      </c>
    </row>
    <row r="8">
      <c r="A8" s="8" t="inlineStr">
        <is>
          <t>Ahorro mensual medio</t>
        </is>
      </c>
      <c r="B8" s="19">
        <f>IFERROR(AVERAGEIF(C3:C1000,2026,D3:D1000),0)</f>
        <v/>
      </c>
    </row>
    <row r="9">
      <c r="A9" s="9" t="inlineStr">
        <is>
          <t>Capital acumulado total</t>
        </is>
      </c>
      <c r="B9" s="17">
        <f>MAX(E3:E1000)</f>
        <v/>
      </c>
    </row>
    <row r="10">
      <c r="A10" s="8" t="inlineStr">
        <is>
          <t>Objetivo anual (10% x 12 meses)</t>
        </is>
      </c>
      <c r="B10" s="19">
        <f>'PRESUPUESTO MENSUAL'!$D$3*0.10*12</f>
        <v/>
      </c>
    </row>
    <row r="11">
      <c r="A11" s="9" t="inlineStr">
        <is>
          <t>% Cumplimiento</t>
        </is>
      </c>
      <c r="B11" s="18">
        <f>IFERROR(B8/B10,0)</f>
        <v/>
      </c>
    </row>
    <row r="12">
      <c r="A12" s="3" t="inlineStr">
        <is>
          <t>DESDE REGISTRO DE MOVIMIENTOS (automatico)</t>
        </is>
      </c>
    </row>
    <row r="13">
      <c r="A13" s="9" t="inlineStr">
        <is>
          <t>Ahorro registrado este mes</t>
        </is>
      </c>
      <c r="B13" s="17">
        <f>SUMPRODUCT((ISNUMBER('REGISTRO DE MOVIMIENTOS'!$A$3:$A$500))*(MONTH(IF(ISNUMBER('REGISTRO DE MOVIMIENTOS'!$A$3:$A$500),'REGISTRO DE MOVIMIENTOS'!$A$3:$A$500,TODAY()))=MONTH(TODAY()))*(YEAR(IF(ISNUMBER('REGISTRO DE MOVIMIENTOS'!$A$3:$A$500),'REGISTRO DE MOVIMIENTOS'!$A$3:$A$500,TODAY()))=YEAR(TODAY()))*('REGISTRO DE MOVIMIENTOS'!$D$3:$D$500="Gasto")*('REGISTRO DE MOVIMIENTOS'!$E$3:$E$500="Ahorro")*('REGISTRO DE MOVIMIENTOS'!$H$3:$H$500))</f>
        <v/>
      </c>
      <c r="C13" s="10" t="inlineStr">
        <is>
          <t>Suma entradas Categoria=Ahorro del mes en curso</t>
        </is>
      </c>
    </row>
    <row r="14">
      <c r="A14" s="8" t="inlineStr">
        <is>
          <t>Ahorro registrado en 2026</t>
        </is>
      </c>
      <c r="B14" s="19">
        <f>SUMPRODUCT((ISNUMBER('REGISTRO DE MOVIMIENTOS'!$A$3:$A$500))*(YEAR(IF(ISNUMBER('REGISTRO DE MOVIMIENTOS'!$A$3:$A$500),'REGISTRO DE MOVIMIENTOS'!$A$3:$A$500,TODAY()))=2026)*('REGISTRO DE MOVIMIENTOS'!$D$3:$D$500="Gasto")*('REGISTRO DE MOVIMIENTOS'!$E$3:$E$500="Ahorro")*('REGISTRO DE MOVIMIENTOS'!$H$3:$H$500))</f>
        <v/>
      </c>
      <c r="C14" s="5" t="inlineStr">
        <is>
          <t>Acumulado anual segun REGISTRO</t>
        </is>
      </c>
    </row>
  </sheetData>
  <mergeCells count="3">
    <mergeCell ref="A6:F6"/>
    <mergeCell ref="A1:F1"/>
    <mergeCell ref="A12:F12"/>
  </mergeCell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FD7E14"/>
    <outlinePr summaryBelow="1" summaryRight="1"/>
    <pageSetUpPr fitToPage="1"/>
  </sheetPr>
  <dimension ref="A1:E12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6" customWidth="1" min="3" max="3"/>
    <col width="16" customWidth="1" min="4" max="4"/>
    <col width="20" customWidth="1" min="5" max="5"/>
  </cols>
  <sheetData>
    <row r="1" ht="30" customHeight="1">
      <c r="A1" s="1" t="inlineStr">
        <is>
          <t>CONTROL DE BANKROLL - CAPITAL DE TRADING</t>
        </is>
      </c>
    </row>
    <row r="2">
      <c r="A2" s="7" t="inlineStr">
        <is>
          <t>Fecha</t>
        </is>
      </c>
      <c r="B2" s="7" t="inlineStr">
        <is>
          <t>Mes</t>
        </is>
      </c>
      <c r="C2" s="7" t="inlineStr">
        <is>
          <t>Anio</t>
        </is>
      </c>
      <c r="D2" s="7" t="inlineStr">
        <is>
          <t>Aporte (EUR)</t>
        </is>
      </c>
      <c r="E2" s="7" t="inlineStr">
        <is>
          <t>Capital Acumulado (EUR)</t>
        </is>
      </c>
    </row>
    <row r="5">
      <c r="A5" s="1" t="inlineStr">
        <is>
          <t>RESUMEN</t>
        </is>
      </c>
    </row>
    <row r="6">
      <c r="A6" s="9" t="inlineStr">
        <is>
          <t>Total bankroll aportado 2026</t>
        </is>
      </c>
      <c r="B6" s="17">
        <f>SUMPRODUCT((ISNUMBER(A3:A1000))*(YEAR(IF(ISNUMBER(A3:A1000),A3:A1000,TODAY()))=2026)*(D3:D1000))</f>
        <v/>
      </c>
    </row>
    <row r="7">
      <c r="A7" s="8" t="inlineStr">
        <is>
          <t>Capital acumulado total</t>
        </is>
      </c>
      <c r="B7" s="19">
        <f>MAX(E3:E1000)</f>
        <v/>
      </c>
    </row>
    <row r="8">
      <c r="A8" s="9" t="inlineStr">
        <is>
          <t>Objetivo anual</t>
        </is>
      </c>
      <c r="B8" s="17">
        <f>'PRESUPUESTO MENSUAL'!$D$3*0.10*12</f>
        <v/>
      </c>
    </row>
    <row r="9">
      <c r="A9" s="9" t="inlineStr">
        <is>
          <t>% Cumplimiento</t>
        </is>
      </c>
      <c r="B9" s="18">
        <f>IFERROR(B6/B8,0)</f>
        <v/>
      </c>
    </row>
    <row r="10">
      <c r="A10" s="3" t="inlineStr">
        <is>
          <t>DESDE REGISTRO DE MOVIMIENTOS (automatico)</t>
        </is>
      </c>
    </row>
    <row r="11">
      <c r="A11" s="9" t="inlineStr">
        <is>
          <t>Bankroll registrado este mes</t>
        </is>
      </c>
      <c r="B11" s="17">
        <f>SUMPRODUCT((ISNUMBER('REGISTRO DE MOVIMIENTOS'!$A$3:$A$500))*(MONTH(IF(ISNUMBER('REGISTRO DE MOVIMIENTOS'!$A$3:$A$500),'REGISTRO DE MOVIMIENTOS'!$A$3:$A$500,TODAY()))=MONTH(TODAY()))*(YEAR(IF(ISNUMBER('REGISTRO DE MOVIMIENTOS'!$A$3:$A$500),'REGISTRO DE MOVIMIENTOS'!$A$3:$A$500,TODAY()))=YEAR(TODAY()))*('REGISTRO DE MOVIMIENTOS'!$D$3:$D$500="Gasto")*('REGISTRO DE MOVIMIENTOS'!$E$3:$E$500="Bankroll")*('REGISTRO DE MOVIMIENTOS'!$H$3:$H$500))</f>
        <v/>
      </c>
      <c r="C11" s="10" t="inlineStr">
        <is>
          <t>Suma entradas Categoria=Bankroll del mes en curso</t>
        </is>
      </c>
    </row>
    <row r="12">
      <c r="A12" s="8" t="inlineStr">
        <is>
          <t>Bankroll registrado en 2026</t>
        </is>
      </c>
      <c r="B12" s="19">
        <f>SUMPRODUCT((ISNUMBER('REGISTRO DE MOVIMIENTOS'!$A$3:$A$500))*(YEAR(IF(ISNUMBER('REGISTRO DE MOVIMIENTOS'!$A$3:$A$500),'REGISTRO DE MOVIMIENTOS'!$A$3:$A$500,TODAY()))=2026)*('REGISTRO DE MOVIMIENTOS'!$D$3:$D$500="Gasto")*('REGISTRO DE MOVIMIENTOS'!$E$3:$E$500="Bankroll")*('REGISTRO DE MOVIMIENTOS'!$H$3:$H$500))</f>
        <v/>
      </c>
      <c r="C12" s="5" t="inlineStr">
        <is>
          <t>Acumulado anual segun REGISTRO</t>
        </is>
      </c>
    </row>
  </sheetData>
  <mergeCells count="3">
    <mergeCell ref="A1:E1"/>
    <mergeCell ref="A5:E5"/>
    <mergeCell ref="A10:E10"/>
  </mergeCell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FD7E14"/>
    <outlinePr summaryBelow="1" summaryRight="1"/>
    <pageSetUpPr fitToPage="1"/>
  </sheetPr>
  <dimension ref="A1:E510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22" customWidth="1" min="3" max="3"/>
    <col width="22" customWidth="1" min="4" max="4"/>
    <col width="35" customWidth="1" min="5" max="5"/>
  </cols>
  <sheetData>
    <row r="1" ht="30" customHeight="1">
      <c r="A1" s="1" t="inlineStr">
        <is>
          <t>DASHBOARD DE TRADING - RESULTADOS Y ANALISIS</t>
        </is>
      </c>
    </row>
    <row r="2">
      <c r="A2" s="7" t="inlineStr">
        <is>
          <t>Fecha</t>
        </is>
      </c>
      <c r="B2" s="7" t="inlineStr">
        <is>
          <t>Cuenta / Plataforma</t>
        </is>
      </c>
      <c r="C2" s="7" t="inlineStr">
        <is>
          <t>Beneficio/Perdida (EUR)</t>
        </is>
      </c>
      <c r="D2" s="7" t="inlineStr">
        <is>
          <t>Payout Recibido (EUR)</t>
        </is>
      </c>
      <c r="E2" s="7" t="inlineStr">
        <is>
          <t>Observaciones</t>
        </is>
      </c>
    </row>
    <row r="502">
      <c r="A502" s="1" t="inlineStr">
        <is>
          <t>ESTADISTICAS DE TRADING</t>
        </is>
      </c>
    </row>
    <row r="503">
      <c r="A503" s="9" t="inlineStr">
        <is>
          <t>Beneficio mensual Jun 2026</t>
        </is>
      </c>
      <c r="B503" s="17">
        <f>SUMPRODUCT((ISNUMBER(A3:A500))*(MONTH(IF(ISNUMBER(A3:A500),A3:A500,TODAY()))=6)*(YEAR(IF(ISNUMBER(A3:A500),A3:A500,TODAY()))=2026)*(C3:C500))</f>
        <v/>
      </c>
    </row>
    <row r="504">
      <c r="A504" s="8" t="inlineStr">
        <is>
          <t>Beneficio anual 2026</t>
        </is>
      </c>
      <c r="B504" s="19">
        <f>SUMPRODUCT((ISNUMBER(A3:A500))*(YEAR(IF(ISNUMBER(A3:A500),A3:A500,TODAY()))=2026)*(C3:C500))</f>
        <v/>
      </c>
    </row>
    <row r="505">
      <c r="A505" s="9" t="inlineStr">
        <is>
          <t>Total payouts recibidos</t>
        </is>
      </c>
      <c r="B505" s="17">
        <f>SUM(D3:D500)</f>
        <v/>
      </c>
    </row>
    <row r="506">
      <c r="A506" s="8" t="inlineStr">
        <is>
          <t>ROI (sobre bankroll inicial 200 EUR)</t>
        </is>
      </c>
      <c r="B506" s="20">
        <f>IFERROR(SUM(C3:C500)/200,0)</f>
        <v/>
      </c>
    </row>
    <row r="507">
      <c r="A507" s="9" t="inlineStr">
        <is>
          <t>Mejor resultado individual</t>
        </is>
      </c>
      <c r="B507" s="17">
        <f>IFERROR(MAX(C3:C500),0)</f>
        <v/>
      </c>
    </row>
    <row r="508">
      <c r="A508" s="8" t="inlineStr">
        <is>
          <t>Peor resultado individual</t>
        </is>
      </c>
      <c r="B508" s="19">
        <f>IFERROR(MIN(C3:C500),0)</f>
        <v/>
      </c>
    </row>
    <row r="509">
      <c r="A509" s="9" t="inlineStr">
        <is>
          <t>Beneficio acumulado total</t>
        </is>
      </c>
      <c r="B509" s="17">
        <f>SUM(C3:C500)</f>
        <v/>
      </c>
    </row>
    <row r="510">
      <c r="A510" s="8" t="inlineStr">
        <is>
          <t>Numero de entradas</t>
        </is>
      </c>
      <c r="B510" s="27">
        <f>COUNTA(B3:B500)</f>
        <v/>
      </c>
    </row>
  </sheetData>
  <mergeCells count="2">
    <mergeCell ref="A1:E1"/>
    <mergeCell ref="A502:E502"/>
  </mergeCells>
  <conditionalFormatting sqref="C3:C10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D7E14"/>
    <outlinePr summaryBelow="1" summaryRight="1"/>
    <pageSetUpPr fitToPage="1"/>
  </sheetPr>
  <dimension ref="A1:E9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6" customWidth="1" min="3" max="3"/>
    <col width="14" customWidth="1" min="4" max="4"/>
    <col width="35" customWidth="1" min="5" max="5"/>
  </cols>
  <sheetData>
    <row r="1" ht="30" customHeight="1">
      <c r="A1" s="1" t="inlineStr">
        <is>
          <t>CONTROL DE PAYOUTS - INGRESOS DE TRADING</t>
        </is>
      </c>
    </row>
    <row r="2">
      <c r="A2" s="7" t="inlineStr">
        <is>
          <t>Fecha</t>
        </is>
      </c>
      <c r="B2" s="7" t="inlineStr">
        <is>
          <t>Empresa / Plataforma</t>
        </is>
      </c>
      <c r="C2" s="7" t="inlineStr">
        <is>
          <t>Importe (EUR)</t>
        </is>
      </c>
      <c r="D2" s="7" t="inlineStr">
        <is>
          <t>Estado</t>
        </is>
      </c>
      <c r="E2" s="7" t="inlineStr">
        <is>
          <t>Observaciones</t>
        </is>
      </c>
    </row>
    <row r="6">
      <c r="A6" s="9" t="inlineStr">
        <is>
          <t>Total cobrado</t>
        </is>
      </c>
      <c r="B6" s="17">
        <f>SUMIF(D3:D1000,"Cobrado",C3:C1000)</f>
        <v/>
      </c>
    </row>
    <row r="7">
      <c r="A7" s="8" t="inlineStr">
        <is>
          <t>Total pendiente</t>
        </is>
      </c>
      <c r="B7" s="19">
        <f>SUMIF(D3:D1000,"Pendiente",C3:C1000)</f>
        <v/>
      </c>
    </row>
    <row r="8">
      <c r="A8" s="9" t="inlineStr">
        <is>
          <t>Total anual 2026</t>
        </is>
      </c>
      <c r="B8" s="17">
        <f>SUMPRODUCT((ISNUMBER(A3:A1000))*(YEAR(IF(ISNUMBER(A3:A1000),A3:A1000,TODAY()))=2026)*(C3:C1000))</f>
        <v/>
      </c>
    </row>
    <row r="9">
      <c r="A9" s="8" t="inlineStr">
        <is>
          <t>Total historico</t>
        </is>
      </c>
      <c r="B9" s="19">
        <f>SUM(C3:C1000)</f>
        <v/>
      </c>
    </row>
  </sheetData>
  <mergeCells count="1">
    <mergeCell ref="A1:E1"/>
  </mergeCells>
  <conditionalFormatting sqref="D3:D1000">
    <cfRule type="expression" priority="1" dxfId="0">
      <formula>D3="Cobrado"</formula>
    </cfRule>
    <cfRule type="expression" priority="2" dxfId="5">
      <formula>D3="Pendiente"</formula>
    </cfRule>
  </conditionalFormatting>
  <dataValidations count="1">
    <dataValidation sqref="D3:D1000" showDropDown="0" showInputMessage="0" showErrorMessage="0" allowBlank="1" type="list">
      <formula1>"Cobrado,Pendiente,Cancelado"</formula1>
    </dataValidation>
  </dataValidation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D2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22" customWidth="1" min="4" max="4"/>
  </cols>
  <sheetData>
    <row r="1" ht="30" customHeight="1">
      <c r="A1" s="1" t="inlineStr">
        <is>
          <t>PATRIMONIO NETO - ACTIVOS Y PASIVOS</t>
        </is>
      </c>
    </row>
    <row r="3">
      <c r="A3" s="11" t="inlineStr">
        <is>
          <t>ACTIVOS</t>
        </is>
      </c>
    </row>
    <row r="4">
      <c r="A4" s="7" t="inlineStr">
        <is>
          <t>Concepto</t>
        </is>
      </c>
      <c r="B4" s="7" t="inlineStr">
        <is>
          <t>Valor Actual (EUR)</t>
        </is>
      </c>
      <c r="C4" s="7" t="inlineStr">
        <is>
          <t>Notas</t>
        </is>
      </c>
    </row>
    <row r="5">
      <c r="A5" s="10" t="inlineStr">
        <is>
          <t>Cuenta Bancaria Corriente</t>
        </is>
      </c>
      <c r="B5" s="17" t="n">
        <v>0</v>
      </c>
      <c r="C5" s="10" t="inlineStr">
        <is>
          <t>Saldo en cuenta corriente</t>
        </is>
      </c>
    </row>
    <row r="6">
      <c r="A6" s="5" t="inlineStr">
        <is>
          <t>Fondo de Ahorro</t>
        </is>
      </c>
      <c r="B6" s="19" t="n">
        <v>0</v>
      </c>
      <c r="C6" s="5" t="inlineStr">
        <is>
          <t>Ahorro acumulado</t>
        </is>
      </c>
    </row>
    <row r="7">
      <c r="A7" s="10" t="inlineStr">
        <is>
          <t>Bankroll Trading</t>
        </is>
      </c>
      <c r="B7" s="17" t="n">
        <v>0</v>
      </c>
      <c r="C7" s="10" t="inlineStr">
        <is>
          <t>Capital para trading</t>
        </is>
      </c>
    </row>
    <row r="8">
      <c r="A8" s="5" t="inlineStr">
        <is>
          <t>Capital en Plataformas</t>
        </is>
      </c>
      <c r="B8" s="19" t="n">
        <v>0</v>
      </c>
      <c r="C8" s="5" t="inlineStr">
        <is>
          <t>Fondos en brokers/prop firms</t>
        </is>
      </c>
    </row>
    <row r="9">
      <c r="A9" s="10" t="inlineStr">
        <is>
          <t>Otros Activos</t>
        </is>
      </c>
      <c r="B9" s="17" t="n">
        <v>0</v>
      </c>
      <c r="C9" s="10" t="inlineStr">
        <is>
          <t>Otros activos</t>
        </is>
      </c>
    </row>
    <row r="10">
      <c r="A10" s="11" t="inlineStr">
        <is>
          <t>TOTAL ACTIVOS</t>
        </is>
      </c>
      <c r="B10" s="28">
        <f>SUM(B5:B9)</f>
        <v/>
      </c>
    </row>
    <row r="12">
      <c r="A12" s="12" t="inlineStr">
        <is>
          <t>PASIVOS / DEUDAS</t>
        </is>
      </c>
    </row>
    <row r="13">
      <c r="A13" s="7" t="inlineStr">
        <is>
          <t>Concepto</t>
        </is>
      </c>
      <c r="B13" s="7" t="inlineStr">
        <is>
          <t>Valor Actual (EUR)</t>
        </is>
      </c>
      <c r="C13" s="7" t="inlineStr">
        <is>
          <t>Notas</t>
        </is>
      </c>
    </row>
    <row r="14">
      <c r="A14" s="10" t="inlineStr">
        <is>
          <t>Deudas personales</t>
        </is>
      </c>
      <c r="B14" s="17" t="n">
        <v>0</v>
      </c>
      <c r="C14" s="10" t="inlineStr"/>
    </row>
    <row r="15">
      <c r="A15" s="5" t="inlineStr">
        <is>
          <t>Financiaciones pendientes</t>
        </is>
      </c>
      <c r="B15" s="19" t="n">
        <v>0</v>
      </c>
      <c r="C15" s="5" t="inlineStr"/>
    </row>
    <row r="16">
      <c r="A16" s="10" t="inlineStr">
        <is>
          <t>Otros pasivos</t>
        </is>
      </c>
      <c r="B16" s="17" t="n">
        <v>0</v>
      </c>
      <c r="C16" s="10" t="inlineStr"/>
    </row>
    <row r="17">
      <c r="A17" s="12" t="inlineStr">
        <is>
          <t>TOTAL PASIVOS</t>
        </is>
      </c>
      <c r="B17" s="29">
        <f>SUM(B14:B16)</f>
        <v/>
      </c>
    </row>
    <row r="19">
      <c r="A19" s="1" t="inlineStr">
        <is>
          <t>PATRIMONIO NETO</t>
        </is>
      </c>
    </row>
    <row r="20">
      <c r="A20" s="4" t="inlineStr">
        <is>
          <t>PATRIMONIO NETO = Activos - Pasivos</t>
        </is>
      </c>
      <c r="B20" s="21">
        <f>B10-B17</f>
        <v/>
      </c>
    </row>
    <row r="22">
      <c r="A22" s="1" t="inlineStr">
        <is>
          <t>EVOLUCION HISTORICA DEL PATRIMONIO</t>
        </is>
      </c>
    </row>
    <row r="23">
      <c r="A23" s="7" t="inlineStr">
        <is>
          <t>Mes</t>
        </is>
      </c>
      <c r="B23" s="7" t="inlineStr">
        <is>
          <t>Activos (EUR)</t>
        </is>
      </c>
      <c r="C23" s="7" t="inlineStr">
        <is>
          <t>Pasivos (EUR)</t>
        </is>
      </c>
      <c r="D23" s="7" t="inlineStr">
        <is>
          <t>Patrimonio Neto (EUR)</t>
        </is>
      </c>
    </row>
  </sheetData>
  <mergeCells count="7">
    <mergeCell ref="A1:D1"/>
    <mergeCell ref="A17"/>
    <mergeCell ref="A22:D22"/>
    <mergeCell ref="A12:D12"/>
    <mergeCell ref="A3:D3"/>
    <mergeCell ref="A10"/>
    <mergeCell ref="A19:D19"/>
  </mergeCell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D23"/>
  <sheetViews>
    <sheetView showGridLines="1"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20" customWidth="1" min="3" max="3"/>
  </cols>
  <sheetData>
    <row r="1" ht="30" customHeight="1">
      <c r="A1" s="1" t="inlineStr">
        <is>
          <t>FONDO DE EMERGENCIA - COBERTURA FINANCIERA</t>
        </is>
      </c>
    </row>
    <row r="3">
      <c r="A3" s="9" t="inlineStr">
        <is>
          <t>Gastos fijos mensuales</t>
        </is>
      </c>
      <c r="B3" s="17" t="n">
        <v>1575</v>
      </c>
    </row>
    <row r="4">
      <c r="A4" s="8" t="inlineStr">
        <is>
          <t>Objetivo 3 meses</t>
        </is>
      </c>
      <c r="B4" s="19" t="n">
        <v>4725</v>
      </c>
    </row>
    <row r="5">
      <c r="A5" s="9" t="inlineStr">
        <is>
          <t>Objetivo 6 meses (recomendado)</t>
        </is>
      </c>
      <c r="B5" s="17" t="n">
        <v>9450</v>
      </c>
    </row>
    <row r="6">
      <c r="A6" s="8" t="inlineStr">
        <is>
          <t>Objetivo 12 meses (optimo)</t>
        </is>
      </c>
      <c r="B6" s="19" t="n">
        <v>18900</v>
      </c>
    </row>
    <row r="8">
      <c r="A8" s="1" t="inlineStr">
        <is>
          <t>TU FONDO DE EMERGENCIA ACTUAL (edita la celda dorada)</t>
        </is>
      </c>
    </row>
    <row r="9">
      <c r="A9" s="9" t="inlineStr">
        <is>
          <t>Capital actual fondo emergencia:</t>
        </is>
      </c>
      <c r="B9" s="25" t="n">
        <v>500</v>
      </c>
    </row>
    <row r="10">
      <c r="A10" s="9" t="inlineStr">
        <is>
          <t>Meses cubiertos actualmente</t>
        </is>
      </c>
      <c r="B10" s="30">
        <f>B9/1575</f>
        <v/>
      </c>
    </row>
    <row r="11">
      <c r="A11" s="8" t="inlineStr">
        <is>
          <t>% cobertura objetivo 6 meses</t>
        </is>
      </c>
      <c r="B11" s="20">
        <f>B9/9450</f>
        <v/>
      </c>
    </row>
    <row r="12">
      <c r="A12" s="9" t="inlineStr">
        <is>
          <t>% cobertura objetivo 12 meses</t>
        </is>
      </c>
      <c r="B12" s="18">
        <f>B9/18900</f>
        <v/>
      </c>
    </row>
    <row r="13">
      <c r="A13" s="8" t="inlineStr">
        <is>
          <t>Faltan para 6 meses</t>
        </is>
      </c>
      <c r="B13" s="19">
        <f>9450-B9</f>
        <v/>
      </c>
    </row>
    <row r="14">
      <c r="A14" s="9" t="inlineStr">
        <is>
          <t>Faltan para 12 meses</t>
        </is>
      </c>
      <c r="B14" s="17">
        <f>18900-B9</f>
        <v/>
      </c>
    </row>
    <row r="16">
      <c r="A16" s="9" t="inlineStr">
        <is>
          <t>Progreso hacia 6 meses:</t>
        </is>
      </c>
      <c r="B16" s="10">
        <f>TEXT(MIN(B11,1),"0.0%")&amp;" completado (objetivo: 9,450 EUR)"</f>
        <v/>
      </c>
    </row>
    <row r="17">
      <c r="A17" s="9" t="inlineStr">
        <is>
          <t>Resumen estado:</t>
        </is>
      </c>
      <c r="B17" s="2">
        <f>IF(B11&gt;=1,"OBJETIVO 6 MESES ALCANZADO",IF(B11&gt;=0.5,"MAS DE LA MITAD COMPLETADO","EN PROGRESO - SIGUE APORTANDO"))</f>
        <v/>
      </c>
    </row>
    <row r="19">
      <c r="A19" s="1" t="inlineStr">
        <is>
          <t>HITOS DEL FONDO DE EMERGENCIA</t>
        </is>
      </c>
    </row>
    <row r="20">
      <c r="A20" s="10" t="inlineStr">
        <is>
          <t>Objetivo 1 mes: 1,575 EUR</t>
        </is>
      </c>
    </row>
    <row r="21">
      <c r="A21" s="10" t="inlineStr">
        <is>
          <t>Objetivo 3 meses: 4,725 EUR</t>
        </is>
      </c>
    </row>
    <row r="22">
      <c r="A22" s="10" t="inlineStr">
        <is>
          <t>Objetivo 6 meses: 9,450 EUR</t>
        </is>
      </c>
    </row>
    <row r="23">
      <c r="A23" s="10" t="inlineStr">
        <is>
          <t>Objetivo 12 meses: 18,900 EUR</t>
        </is>
      </c>
    </row>
  </sheetData>
  <mergeCells count="3">
    <mergeCell ref="A1:D1"/>
    <mergeCell ref="A8:D8"/>
    <mergeCell ref="A19:D19"/>
  </mergeCells>
  <pageMargins left="0.75" right="0.75" top="1" bottom="1" header="0.5" footer="0.5"/>
  <pageSetup orientation="landscape" fitToWidth="1"/>
</worksheet>
</file>

<file path=xl/worksheets/sheet11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F6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8" customWidth="1" min="5" max="5"/>
    <col width="30" customWidth="1" min="6" max="6"/>
  </cols>
  <sheetData>
    <row r="1" ht="30" customHeight="1">
      <c r="A1" s="1" t="inlineStr">
        <is>
          <t>OBJETIVOS FINANCIEROS ANUALES 2026</t>
        </is>
      </c>
    </row>
    <row r="2">
      <c r="A2" s="7" t="inlineStr">
        <is>
          <t>Objetivo</t>
        </is>
      </c>
      <c r="B2" s="7" t="inlineStr">
        <is>
          <t>Meta Anual (EUR)</t>
        </is>
      </c>
      <c r="C2" s="7" t="inlineStr">
        <is>
          <t>Actual (EUR)</t>
        </is>
      </c>
      <c r="D2" s="7" t="inlineStr">
        <is>
          <t>Diferencia (EUR)</t>
        </is>
      </c>
      <c r="E2" s="7" t="inlineStr">
        <is>
          <t>% Cumplimiento</t>
        </is>
      </c>
      <c r="F2" s="7" t="inlineStr">
        <is>
          <t>Estado</t>
        </is>
      </c>
    </row>
    <row r="3">
      <c r="A3" s="8" t="inlineStr">
        <is>
          <t>Ahorro anual</t>
        </is>
      </c>
      <c r="B3" s="19" t="n">
        <v>2400</v>
      </c>
      <c r="C3" s="19">
        <f>SUMPRODUCT((ISNUMBER('REGISTRO DE MOVIMIENTOS'!$A$3:$A$500))*(YEAR(IF(ISNUMBER('REGISTRO DE MOVIMIENTOS'!$A$3:$A$500),'REGISTRO DE MOVIMIENTOS'!$A$3:$A$500,TODAY()))=2026)*('REGISTRO DE MOVIMIENTOS'!$D$3:$D$500="Gasto")*('REGISTRO DE MOVIMIENTOS'!$E$3:$E$500="Ahorro")*('REGISTRO DE MOVIMIENTOS'!$H$3:$H$500))</f>
        <v/>
      </c>
      <c r="D3" s="19">
        <f>C3-B3</f>
        <v/>
      </c>
      <c r="E3" s="20">
        <f>IFERROR(C3/B3,0)</f>
        <v/>
      </c>
      <c r="F3" s="5">
        <f>TEXT(IFERROR(C3/B3,0),"0.0%")&amp;IF(IFERROR(C3/B3,0)&gt;=1," COMPLETADO",IF(IFERROR(C3/B3,0)&gt;=0.5," EN BUEN CAMINO"," EN PROGRESO"))</f>
        <v/>
      </c>
    </row>
    <row r="4">
      <c r="A4" s="9" t="inlineStr">
        <is>
          <t>Bankroll anual</t>
        </is>
      </c>
      <c r="B4" s="17" t="n">
        <v>2400</v>
      </c>
      <c r="C4" s="17">
        <f>SUMPRODUCT((ISNUMBER('REGISTRO DE MOVIMIENTOS'!$A$3:$A$500))*(YEAR(IF(ISNUMBER('REGISTRO DE MOVIMIENTOS'!$A$3:$A$500),'REGISTRO DE MOVIMIENTOS'!$A$3:$A$500,TODAY()))=2026)*('REGISTRO DE MOVIMIENTOS'!$D$3:$D$500="Gasto")*('REGISTRO DE MOVIMIENTOS'!$E$3:$E$500="Bankroll")*('REGISTRO DE MOVIMIENTOS'!$H$3:$H$500))</f>
        <v/>
      </c>
      <c r="D4" s="17">
        <f>C4-B4</f>
        <v/>
      </c>
      <c r="E4" s="18">
        <f>IFERROR(C4/B4,0)</f>
        <v/>
      </c>
      <c r="F4" s="10">
        <f>TEXT(IFERROR(C4/B4,0),"0.0%")&amp;IF(IFERROR(C4/B4,0)&gt;=1," COMPLETADO",IF(IFERROR(C4/B4,0)&gt;=0.5," EN BUEN CAMINO"," EN PROGRESO"))</f>
        <v/>
      </c>
    </row>
    <row r="5">
      <c r="A5" s="8" t="inlineStr">
        <is>
          <t>Patrimonio anual</t>
        </is>
      </c>
      <c r="B5" s="19" t="n">
        <v>5000</v>
      </c>
      <c r="C5" s="19">
        <f>'PATRIMONIO NETO'!B20</f>
        <v/>
      </c>
      <c r="D5" s="19">
        <f>C5-B5</f>
        <v/>
      </c>
      <c r="E5" s="20">
        <f>IFERROR(C5/B5,0)</f>
        <v/>
      </c>
      <c r="F5" s="5">
        <f>TEXT(IFERROR(C5/B5,0),"0.0%")&amp;IF(IFERROR(C5/B5,0)&gt;=1," COMPLETADO",IF(IFERROR(C5/B5,0)&gt;=0.5," EN BUEN CAMINO"," EN PROGRESO"))</f>
        <v/>
      </c>
    </row>
    <row r="6">
      <c r="A6" s="9" t="inlineStr">
        <is>
          <t>Beneficios trading</t>
        </is>
      </c>
      <c r="B6" s="17" t="n">
        <v>4200</v>
      </c>
      <c r="C6" s="17">
        <f>SUM('DASHBOARD DE TRADING'!C3:C500)</f>
        <v/>
      </c>
      <c r="D6" s="17">
        <f>C6-B6</f>
        <v/>
      </c>
      <c r="E6" s="18">
        <f>IFERROR(C6/B6,0)</f>
        <v/>
      </c>
      <c r="F6" s="10">
        <f>TEXT(IFERROR(C6/B6,0),"0.0%")&amp;IF(IFERROR(C6/B6,0)&gt;=1," COMPLETADO",IF(IFERROR(C6/B6,0)&gt;=0.5," EN BUEN CAMINO"," EN PROGRESO"))</f>
        <v/>
      </c>
    </row>
  </sheetData>
  <mergeCells count="1">
    <mergeCell ref="A1:F1"/>
  </mergeCells>
  <conditionalFormatting sqref="E3:E10">
    <cfRule type="cellIs" priority="1" operator="greaterThanOrEqual" dxfId="0">
      <formula>0.75</formula>
    </cfRule>
    <cfRule type="cellIs" priority="2" operator="between" dxfId="5">
      <formula>0.5</formula>
      <formula>0.75</formula>
    </cfRule>
    <cfRule type="cellIs" priority="3" operator="lessThan" dxfId="1">
      <formula>0.5</formula>
    </cfRule>
  </conditionalFormatting>
  <pageMargins left="0.75" right="0.75" top="1" bottom="1" header="0.5" footer="0.5"/>
  <pageSetup orientation="landscape" fitToWidth="1"/>
</worksheet>
</file>

<file path=xl/worksheets/sheet12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G526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2" customWidth="1" min="3" max="3"/>
    <col width="28" customWidth="1" min="4" max="4"/>
    <col width="12" customWidth="1" min="5" max="5"/>
    <col width="12" customWidth="1" min="6" max="6"/>
    <col width="14" customWidth="1" min="7" max="7"/>
  </cols>
  <sheetData>
    <row r="1" ht="30" customHeight="1">
      <c r="A1" s="1" t="inlineStr">
        <is>
          <t>GASTOS HORMIGA - CONTROL DE PEQUENOS GASTOS</t>
        </is>
      </c>
    </row>
    <row r="2">
      <c r="A2" s="7" t="inlineStr">
        <is>
          <t>Fecha</t>
        </is>
      </c>
      <c r="B2" s="7" t="inlineStr">
        <is>
          <t>Mes</t>
        </is>
      </c>
      <c r="C2" s="7" t="inlineStr">
        <is>
          <t>Categoria</t>
        </is>
      </c>
      <c r="D2" s="7" t="inlineStr">
        <is>
          <t>Descripcion</t>
        </is>
      </c>
      <c r="E2" s="7" t="inlineStr">
        <is>
          <t>Importe (EUR)</t>
        </is>
      </c>
      <c r="F2" s="7" t="inlineStr">
        <is>
          <t>% Ingreso</t>
        </is>
      </c>
      <c r="G2" s="7" t="inlineStr">
        <is>
          <t>Alerta</t>
        </is>
      </c>
    </row>
    <row r="502">
      <c r="A502" s="1" t="inlineStr">
        <is>
          <t>RESUMEN POR CATEGORIA - JUNIO 2026</t>
        </is>
      </c>
    </row>
    <row r="503">
      <c r="A503" s="7" t="inlineStr">
        <is>
          <t>Categoria</t>
        </is>
      </c>
      <c r="B503" s="7" t="inlineStr">
        <is>
          <t>Total Mes (EUR)</t>
        </is>
      </c>
      <c r="C503" s="7" t="inlineStr">
        <is>
          <t>% Ingreso</t>
        </is>
      </c>
      <c r="D503" s="7" t="inlineStr">
        <is>
          <t>Limite 5%</t>
        </is>
      </c>
      <c r="E503" s="7" t="inlineStr">
        <is>
          <t>Estado</t>
        </is>
      </c>
    </row>
    <row r="504">
      <c r="A504" s="9" t="inlineStr">
        <is>
          <t>Restaurantes</t>
        </is>
      </c>
      <c r="B504" s="17">
        <f>SUMIF($C$3:$C$500,$A504,$E$3:$E$500)</f>
        <v/>
      </c>
      <c r="C504" s="18">
        <f>B504/'PRESUPUESTO MENSUAL'!$D$3</f>
        <v/>
      </c>
      <c r="D504" s="24" t="inlineStr">
        <is>
          <t>5% limite</t>
        </is>
      </c>
      <c r="E504">
        <f>IF(B504&gt;'PRESUPUESTO MENSUAL'!$D$3*0.05,"EXCEDIDO","OK")</f>
        <v/>
      </c>
    </row>
    <row r="505">
      <c r="A505" s="8" t="inlineStr">
        <is>
          <t>Amazon</t>
        </is>
      </c>
      <c r="B505" s="19">
        <f>SUMIF($C$3:$C$500,$A505,$E$3:$E$500)</f>
        <v/>
      </c>
      <c r="C505" s="20">
        <f>B505/'PRESUPUESTO MENSUAL'!$D$3</f>
        <v/>
      </c>
      <c r="D505" s="23" t="inlineStr">
        <is>
          <t>5% limite</t>
        </is>
      </c>
      <c r="E505">
        <f>IF(B505&gt;'PRESUPUESTO MENSUAL'!$D$3*0.05,"EXCEDIDO","OK")</f>
        <v/>
      </c>
    </row>
    <row r="506">
      <c r="A506" s="9" t="inlineStr">
        <is>
          <t>Ocio</t>
        </is>
      </c>
      <c r="B506" s="17">
        <f>SUMIF($C$3:$C$500,$A506,$E$3:$E$500)</f>
        <v/>
      </c>
      <c r="C506" s="18">
        <f>B506/'PRESUPUESTO MENSUAL'!$D$3</f>
        <v/>
      </c>
      <c r="D506" s="24" t="inlineStr">
        <is>
          <t>5% limite</t>
        </is>
      </c>
      <c r="E506">
        <f>IF(B506&gt;'PRESUPUESTO MENSUAL'!$D$3*0.05,"EXCEDIDO","OK")</f>
        <v/>
      </c>
    </row>
    <row r="507">
      <c r="A507" s="8" t="inlineStr">
        <is>
          <t>Suscripciones</t>
        </is>
      </c>
      <c r="B507" s="19">
        <f>SUMIF($C$3:$C$500,$A507,$E$3:$E$500)</f>
        <v/>
      </c>
      <c r="C507" s="20">
        <f>B507/'PRESUPUESTO MENSUAL'!$D$3</f>
        <v/>
      </c>
      <c r="D507" s="23" t="inlineStr">
        <is>
          <t>5% limite</t>
        </is>
      </c>
      <c r="E507">
        <f>IF(B507&gt;'PRESUPUESTO MENSUAL'!$D$3*0.05,"EXCEDIDO","OK")</f>
        <v/>
      </c>
    </row>
    <row r="508">
      <c r="A508" s="9" t="inlineStr">
        <is>
          <t>Compras impulsivas</t>
        </is>
      </c>
      <c r="B508" s="17">
        <f>SUMIF($C$3:$C$500,$A508,$E$3:$E$500)</f>
        <v/>
      </c>
      <c r="C508" s="18">
        <f>B508/'PRESUPUESTO MENSUAL'!$D$3</f>
        <v/>
      </c>
      <c r="D508" s="24" t="inlineStr">
        <is>
          <t>5% limite</t>
        </is>
      </c>
      <c r="E508">
        <f>IF(B508&gt;'PRESUPUESTO MENSUAL'!$D$3*0.05,"EXCEDIDO","OK")</f>
        <v/>
      </c>
    </row>
    <row r="512">
      <c r="A512" s="3" t="inlineStr">
        <is>
          <t>GASTOS DEL MES ACTUAL POR CATEGORIA  (automatico desde REGISTRO DE MOVIMIENTOS)</t>
        </is>
      </c>
    </row>
    <row r="513">
      <c r="A513" s="7" t="inlineStr">
        <is>
          <t>Categoria</t>
        </is>
      </c>
      <c r="B513" s="7" t="inlineStr">
        <is>
          <t>Mes Actual (EUR)</t>
        </is>
      </c>
      <c r="C513" s="7" t="inlineStr">
        <is>
          <t>% Ingreso</t>
        </is>
      </c>
      <c r="D513" s="7" t="inlineStr">
        <is>
          <t>Acumulado 2026 (EUR)</t>
        </is>
      </c>
      <c r="E513" s="7" t="inlineStr">
        <is>
          <t>Limite 5%</t>
        </is>
      </c>
    </row>
    <row r="514">
      <c r="A514" s="9" t="inlineStr">
        <is>
          <t>Supermercado</t>
        </is>
      </c>
      <c r="B514" s="17">
        <f>SUMPRODUCT((ISNUMBER('REGISTRO DE MOVIMIENTOS'!$A$3:$A$500))*(MONTH(IF(ISNUMBER('REGISTRO DE MOVIMIENTOS'!$A$3:$A$500),'REGISTRO DE MOVIMIENTOS'!$A$3:$A$500,TODAY()))=MONTH(TODAY()))*(YEAR(IF(ISNUMBER('REGISTRO DE MOVIMIENTOS'!$A$3:$A$500),'REGISTRO DE MOVIMIENTOS'!$A$3:$A$500,TODAY()))=YEAR(TODAY()))*('REGISTRO DE MOVIMIENTOS'!$D$3:$D$500="Gasto")*('REGISTRO DE MOVIMIENTOS'!$E$3:$E$500="Supermercado")*('REGISTRO DE MOVIMIENTOS'!$H$3:$H$500))</f>
        <v/>
      </c>
      <c r="C514" s="18">
        <f>B514/'PRESUPUESTO MENSUAL'!$D$3</f>
        <v/>
      </c>
      <c r="D514" s="17">
        <f>SUMPRODUCT((ISNUMBER('REGISTRO DE MOVIMIENTOS'!$A$3:$A$500))*(YEAR(IF(ISNUMBER('REGISTRO DE MOVIMIENTOS'!$A$3:$A$500),'REGISTRO DE MOVIMIENTOS'!$A$3:$A$500,TODAY()))=2026)*('REGISTRO DE MOVIMIENTOS'!$D$3:$D$500="Gasto")*('REGISTRO DE MOVIMIENTOS'!$E$3:$E$500="Supermercado")*('REGISTRO DE MOVIMIENTOS'!$H$3:$H$500))</f>
        <v/>
      </c>
      <c r="E514" s="24">
        <f>IF(B514&gt;'PRESUPUESTO MENSUAL'!$D$3*0.05,"EXCEDIDO","OK")</f>
        <v/>
      </c>
    </row>
    <row r="515">
      <c r="A515" s="8" t="inlineStr">
        <is>
          <t>Restaurante</t>
        </is>
      </c>
      <c r="B515" s="19">
        <f>SUMPRODUCT((ISNUMBER('REGISTRO DE MOVIMIENTOS'!$A$3:$A$500))*(MONTH(IF(ISNUMBER('REGISTRO DE MOVIMIENTOS'!$A$3:$A$500),'REGISTRO DE MOVIMIENTOS'!$A$3:$A$500,TODAY()))=MONTH(TODAY()))*(YEAR(IF(ISNUMBER('REGISTRO DE MOVIMIENTOS'!$A$3:$A$500),'REGISTRO DE MOVIMIENTOS'!$A$3:$A$500,TODAY()))=YEAR(TODAY()))*('REGISTRO DE MOVIMIENTOS'!$D$3:$D$500="Gasto")*('REGISTRO DE MOVIMIENTOS'!$E$3:$E$500="Restaurante")*('REGISTRO DE MOVIMIENTOS'!$H$3:$H$500))</f>
        <v/>
      </c>
      <c r="C515" s="20">
        <f>B515/'PRESUPUESTO MENSUAL'!$D$3</f>
        <v/>
      </c>
      <c r="D515" s="19">
        <f>SUMPRODUCT((ISNUMBER('REGISTRO DE MOVIMIENTOS'!$A$3:$A$500))*(YEAR(IF(ISNUMBER('REGISTRO DE MOVIMIENTOS'!$A$3:$A$500),'REGISTRO DE MOVIMIENTOS'!$A$3:$A$500,TODAY()))=2026)*('REGISTRO DE MOVIMIENTOS'!$D$3:$D$500="Gasto")*('REGISTRO DE MOVIMIENTOS'!$E$3:$E$500="Restaurante")*('REGISTRO DE MOVIMIENTOS'!$H$3:$H$500))</f>
        <v/>
      </c>
      <c r="E515" s="23">
        <f>IF(B515&gt;'PRESUPUESTO MENSUAL'!$D$3*0.05,"EXCEDIDO","OK")</f>
        <v/>
      </c>
    </row>
    <row r="516">
      <c r="A516" s="9" t="inlineStr">
        <is>
          <t>Cafeteria/Bar</t>
        </is>
      </c>
      <c r="B516" s="17">
        <f>SUMPRODUCT((ISNUMBER('REGISTRO DE MOVIMIENTOS'!$A$3:$A$500))*(MONTH(IF(ISNUMBER('REGISTRO DE MOVIMIENTOS'!$A$3:$A$500),'REGISTRO DE MOVIMIENTOS'!$A$3:$A$500,TODAY()))=MONTH(TODAY()))*(YEAR(IF(ISNUMBER('REGISTRO DE MOVIMIENTOS'!$A$3:$A$500),'REGISTRO DE MOVIMIENTOS'!$A$3:$A$500,TODAY()))=YEAR(TODAY()))*('REGISTRO DE MOVIMIENTOS'!$D$3:$D$500="Gasto")*('REGISTRO DE MOVIMIENTOS'!$E$3:$E$500="Cafeteria/Bar")*('REGISTRO DE MOVIMIENTOS'!$H$3:$H$500))</f>
        <v/>
      </c>
      <c r="C516" s="18">
        <f>B516/'PRESUPUESTO MENSUAL'!$D$3</f>
        <v/>
      </c>
      <c r="D516" s="17">
        <f>SUMPRODUCT((ISNUMBER('REGISTRO DE MOVIMIENTOS'!$A$3:$A$500))*(YEAR(IF(ISNUMBER('REGISTRO DE MOVIMIENTOS'!$A$3:$A$500),'REGISTRO DE MOVIMIENTOS'!$A$3:$A$500,TODAY()))=2026)*('REGISTRO DE MOVIMIENTOS'!$D$3:$D$500="Gasto")*('REGISTRO DE MOVIMIENTOS'!$E$3:$E$500="Cafeteria/Bar")*('REGISTRO DE MOVIMIENTOS'!$H$3:$H$500))</f>
        <v/>
      </c>
      <c r="E516" s="24">
        <f>IF(B516&gt;'PRESUPUESTO MENSUAL'!$D$3*0.05,"EXCEDIDO","OK")</f>
        <v/>
      </c>
    </row>
    <row r="517">
      <c r="A517" s="8" t="inlineStr">
        <is>
          <t>Ocio/Entretenimiento</t>
        </is>
      </c>
      <c r="B517" s="19">
        <f>SUMPRODUCT((ISNUMBER('REGISTRO DE MOVIMIENTOS'!$A$3:$A$500))*(MONTH(IF(ISNUMBER('REGISTRO DE MOVIMIENTOS'!$A$3:$A$500),'REGISTRO DE MOVIMIENTOS'!$A$3:$A$500,TODAY()))=MONTH(TODAY()))*(YEAR(IF(ISNUMBER('REGISTRO DE MOVIMIENTOS'!$A$3:$A$500),'REGISTRO DE MOVIMIENTOS'!$A$3:$A$500,TODAY()))=YEAR(TODAY()))*('REGISTRO DE MOVIMIENTOS'!$D$3:$D$500="Gasto")*('REGISTRO DE MOVIMIENTOS'!$E$3:$E$500="Ocio/Entretenimiento")*('REGISTRO DE MOVIMIENTOS'!$H$3:$H$500))</f>
        <v/>
      </c>
      <c r="C517" s="20">
        <f>B517/'PRESUPUESTO MENSUAL'!$D$3</f>
        <v/>
      </c>
      <c r="D517" s="19">
        <f>SUMPRODUCT((ISNUMBER('REGISTRO DE MOVIMIENTOS'!$A$3:$A$500))*(YEAR(IF(ISNUMBER('REGISTRO DE MOVIMIENTOS'!$A$3:$A$500),'REGISTRO DE MOVIMIENTOS'!$A$3:$A$500,TODAY()))=2026)*('REGISTRO DE MOVIMIENTOS'!$D$3:$D$500="Gasto")*('REGISTRO DE MOVIMIENTOS'!$E$3:$E$500="Ocio/Entretenimiento")*('REGISTRO DE MOVIMIENTOS'!$H$3:$H$500))</f>
        <v/>
      </c>
      <c r="E517" s="23">
        <f>IF(B517&gt;'PRESUPUESTO MENSUAL'!$D$3*0.05,"EXCEDIDO","OK")</f>
        <v/>
      </c>
    </row>
    <row r="518">
      <c r="A518" s="9" t="inlineStr">
        <is>
          <t>Ropa/Calzado</t>
        </is>
      </c>
      <c r="B518" s="17">
        <f>SUMPRODUCT((ISNUMBER('REGISTRO DE MOVIMIENTOS'!$A$3:$A$500))*(MONTH(IF(ISNUMBER('REGISTRO DE MOVIMIENTOS'!$A$3:$A$500),'REGISTRO DE MOVIMIENTOS'!$A$3:$A$500,TODAY()))=MONTH(TODAY()))*(YEAR(IF(ISNUMBER('REGISTRO DE MOVIMIENTOS'!$A$3:$A$500),'REGISTRO DE MOVIMIENTOS'!$A$3:$A$500,TODAY()))=YEAR(TODAY()))*('REGISTRO DE MOVIMIENTOS'!$D$3:$D$500="Gasto")*('REGISTRO DE MOVIMIENTOS'!$E$3:$E$500="Ropa/Calzado")*('REGISTRO DE MOVIMIENTOS'!$H$3:$H$500))</f>
        <v/>
      </c>
      <c r="C518" s="18">
        <f>B518/'PRESUPUESTO MENSUAL'!$D$3</f>
        <v/>
      </c>
      <c r="D518" s="17">
        <f>SUMPRODUCT((ISNUMBER('REGISTRO DE MOVIMIENTOS'!$A$3:$A$500))*(YEAR(IF(ISNUMBER('REGISTRO DE MOVIMIENTOS'!$A$3:$A$500),'REGISTRO DE MOVIMIENTOS'!$A$3:$A$500,TODAY()))=2026)*('REGISTRO DE MOVIMIENTOS'!$D$3:$D$500="Gasto")*('REGISTRO DE MOVIMIENTOS'!$E$3:$E$500="Ropa/Calzado")*('REGISTRO DE MOVIMIENTOS'!$H$3:$H$500))</f>
        <v/>
      </c>
      <c r="E518" s="24">
        <f>IF(B518&gt;'PRESUPUESTO MENSUAL'!$D$3*0.05,"EXCEDIDO","OK")</f>
        <v/>
      </c>
    </row>
    <row r="519">
      <c r="A519" s="8" t="inlineStr">
        <is>
          <t>Electronica/Amazon</t>
        </is>
      </c>
      <c r="B519" s="19">
        <f>SUMPRODUCT((ISNUMBER('REGISTRO DE MOVIMIENTOS'!$A$3:$A$500))*(MONTH(IF(ISNUMBER('REGISTRO DE MOVIMIENTOS'!$A$3:$A$500),'REGISTRO DE MOVIMIENTOS'!$A$3:$A$500,TODAY()))=MONTH(TODAY()))*(YEAR(IF(ISNUMBER('REGISTRO DE MOVIMIENTOS'!$A$3:$A$500),'REGISTRO DE MOVIMIENTOS'!$A$3:$A$500,TODAY()))=YEAR(TODAY()))*('REGISTRO DE MOVIMIENTOS'!$D$3:$D$500="Gasto")*('REGISTRO DE MOVIMIENTOS'!$E$3:$E$500="Electronica/Amazon")*('REGISTRO DE MOVIMIENTOS'!$H$3:$H$500))</f>
        <v/>
      </c>
      <c r="C519" s="20">
        <f>B519/'PRESUPUESTO MENSUAL'!$D$3</f>
        <v/>
      </c>
      <c r="D519" s="19">
        <f>SUMPRODUCT((ISNUMBER('REGISTRO DE MOVIMIENTOS'!$A$3:$A$500))*(YEAR(IF(ISNUMBER('REGISTRO DE MOVIMIENTOS'!$A$3:$A$500),'REGISTRO DE MOVIMIENTOS'!$A$3:$A$500,TODAY()))=2026)*('REGISTRO DE MOVIMIENTOS'!$D$3:$D$500="Gasto")*('REGISTRO DE MOVIMIENTOS'!$E$3:$E$500="Electronica/Amazon")*('REGISTRO DE MOVIMIENTOS'!$H$3:$H$500))</f>
        <v/>
      </c>
      <c r="E519" s="23">
        <f>IF(B519&gt;'PRESUPUESTO MENSUAL'!$D$3*0.05,"EXCEDIDO","OK")</f>
        <v/>
      </c>
    </row>
    <row r="520">
      <c r="A520" s="9" t="inlineStr">
        <is>
          <t>Farmacia/Salud</t>
        </is>
      </c>
      <c r="B520" s="17">
        <f>SUMPRODUCT((ISNUMBER('REGISTRO DE MOVIMIENTOS'!$A$3:$A$500))*(MONTH(IF(ISNUMBER('REGISTRO DE MOVIMIENTOS'!$A$3:$A$500),'REGISTRO DE MOVIMIENTOS'!$A$3:$A$500,TODAY()))=MONTH(TODAY()))*(YEAR(IF(ISNUMBER('REGISTRO DE MOVIMIENTOS'!$A$3:$A$500),'REGISTRO DE MOVIMIENTOS'!$A$3:$A$500,TODAY()))=YEAR(TODAY()))*('REGISTRO DE MOVIMIENTOS'!$D$3:$D$500="Gasto")*('REGISTRO DE MOVIMIENTOS'!$E$3:$E$500="Farmacia/Salud")*('REGISTRO DE MOVIMIENTOS'!$H$3:$H$500))</f>
        <v/>
      </c>
      <c r="C520" s="18">
        <f>B520/'PRESUPUESTO MENSUAL'!$D$3</f>
        <v/>
      </c>
      <c r="D520" s="17">
        <f>SUMPRODUCT((ISNUMBER('REGISTRO DE MOVIMIENTOS'!$A$3:$A$500))*(YEAR(IF(ISNUMBER('REGISTRO DE MOVIMIENTOS'!$A$3:$A$500),'REGISTRO DE MOVIMIENTOS'!$A$3:$A$500,TODAY()))=2026)*('REGISTRO DE MOVIMIENTOS'!$D$3:$D$500="Gasto")*('REGISTRO DE MOVIMIENTOS'!$E$3:$E$500="Farmacia/Salud")*('REGISTRO DE MOVIMIENTOS'!$H$3:$H$500))</f>
        <v/>
      </c>
      <c r="E520" s="24">
        <f>IF(B520&gt;'PRESUPUESTO MENSUAL'!$D$3*0.05,"EXCEDIDO","OK")</f>
        <v/>
      </c>
    </row>
    <row r="521">
      <c r="A521" s="8" t="inlineStr">
        <is>
          <t>Peluqueria/Estetica</t>
        </is>
      </c>
      <c r="B521" s="19">
        <f>SUMPRODUCT((ISNUMBER('REGISTRO DE MOVIMIENTOS'!$A$3:$A$500))*(MONTH(IF(ISNUMBER('REGISTRO DE MOVIMIENTOS'!$A$3:$A$500),'REGISTRO DE MOVIMIENTOS'!$A$3:$A$500,TODAY()))=MONTH(TODAY()))*(YEAR(IF(ISNUMBER('REGISTRO DE MOVIMIENTOS'!$A$3:$A$500),'REGISTRO DE MOVIMIENTOS'!$A$3:$A$500,TODAY()))=YEAR(TODAY()))*('REGISTRO DE MOVIMIENTOS'!$D$3:$D$500="Gasto")*('REGISTRO DE MOVIMIENTOS'!$E$3:$E$500="Peluqueria/Estetica")*('REGISTRO DE MOVIMIENTOS'!$H$3:$H$500))</f>
        <v/>
      </c>
      <c r="C521" s="20">
        <f>B521/'PRESUPUESTO MENSUAL'!$D$3</f>
        <v/>
      </c>
      <c r="D521" s="19">
        <f>SUMPRODUCT((ISNUMBER('REGISTRO DE MOVIMIENTOS'!$A$3:$A$500))*(YEAR(IF(ISNUMBER('REGISTRO DE MOVIMIENTOS'!$A$3:$A$500),'REGISTRO DE MOVIMIENTOS'!$A$3:$A$500,TODAY()))=2026)*('REGISTRO DE MOVIMIENTOS'!$D$3:$D$500="Gasto")*('REGISTRO DE MOVIMIENTOS'!$E$3:$E$500="Peluqueria/Estetica")*('REGISTRO DE MOVIMIENTOS'!$H$3:$H$500))</f>
        <v/>
      </c>
      <c r="E521" s="23">
        <f>IF(B521&gt;'PRESUPUESTO MENSUAL'!$D$3*0.05,"EXCEDIDO","OK")</f>
        <v/>
      </c>
    </row>
    <row r="522">
      <c r="A522" s="9" t="inlineStr">
        <is>
          <t>Hogar</t>
        </is>
      </c>
      <c r="B522" s="17">
        <f>SUMPRODUCT((ISNUMBER('REGISTRO DE MOVIMIENTOS'!$A$3:$A$500))*(MONTH(IF(ISNUMBER('REGISTRO DE MOVIMIENTOS'!$A$3:$A$500),'REGISTRO DE MOVIMIENTOS'!$A$3:$A$500,TODAY()))=MONTH(TODAY()))*(YEAR(IF(ISNUMBER('REGISTRO DE MOVIMIENTOS'!$A$3:$A$500),'REGISTRO DE MOVIMIENTOS'!$A$3:$A$500,TODAY()))=YEAR(TODAY()))*('REGISTRO DE MOVIMIENTOS'!$D$3:$D$500="Gasto")*('REGISTRO DE MOVIMIENTOS'!$E$3:$E$500="Hogar")*('REGISTRO DE MOVIMIENTOS'!$H$3:$H$500))</f>
        <v/>
      </c>
      <c r="C522" s="18">
        <f>B522/'PRESUPUESTO MENSUAL'!$D$3</f>
        <v/>
      </c>
      <c r="D522" s="17">
        <f>SUMPRODUCT((ISNUMBER('REGISTRO DE MOVIMIENTOS'!$A$3:$A$500))*(YEAR(IF(ISNUMBER('REGISTRO DE MOVIMIENTOS'!$A$3:$A$500),'REGISTRO DE MOVIMIENTOS'!$A$3:$A$500,TODAY()))=2026)*('REGISTRO DE MOVIMIENTOS'!$D$3:$D$500="Gasto")*('REGISTRO DE MOVIMIENTOS'!$E$3:$E$500="Hogar")*('REGISTRO DE MOVIMIENTOS'!$H$3:$H$500))</f>
        <v/>
      </c>
      <c r="E522" s="24">
        <f>IF(B522&gt;'PRESUPUESTO MENSUAL'!$D$3*0.05,"EXCEDIDO","OK")</f>
        <v/>
      </c>
    </row>
    <row r="523">
      <c r="A523" s="8" t="inlineStr">
        <is>
          <t>Formacion/Suscripciones</t>
        </is>
      </c>
      <c r="B523" s="19">
        <f>SUMPRODUCT((ISNUMBER('REGISTRO DE MOVIMIENTOS'!$A$3:$A$500))*(MONTH(IF(ISNUMBER('REGISTRO DE MOVIMIENTOS'!$A$3:$A$500),'REGISTRO DE MOVIMIENTOS'!$A$3:$A$500,TODAY()))=MONTH(TODAY()))*(YEAR(IF(ISNUMBER('REGISTRO DE MOVIMIENTOS'!$A$3:$A$500),'REGISTRO DE MOVIMIENTOS'!$A$3:$A$500,TODAY()))=YEAR(TODAY()))*('REGISTRO DE MOVIMIENTOS'!$D$3:$D$500="Gasto")*('REGISTRO DE MOVIMIENTOS'!$E$3:$E$500="Formacion/Suscripciones")*('REGISTRO DE MOVIMIENTOS'!$H$3:$H$500))</f>
        <v/>
      </c>
      <c r="C523" s="20">
        <f>B523/'PRESUPUESTO MENSUAL'!$D$3</f>
        <v/>
      </c>
      <c r="D523" s="19">
        <f>SUMPRODUCT((ISNUMBER('REGISTRO DE MOVIMIENTOS'!$A$3:$A$500))*(YEAR(IF(ISNUMBER('REGISTRO DE MOVIMIENTOS'!$A$3:$A$500),'REGISTRO DE MOVIMIENTOS'!$A$3:$A$500,TODAY()))=2026)*('REGISTRO DE MOVIMIENTOS'!$D$3:$D$500="Gasto")*('REGISTRO DE MOVIMIENTOS'!$E$3:$E$500="Formacion/Suscripciones")*('REGISTRO DE MOVIMIENTOS'!$H$3:$H$500))</f>
        <v/>
      </c>
      <c r="E523" s="23">
        <f>IF(B523&gt;'PRESUPUESTO MENSUAL'!$D$3*0.05,"EXCEDIDO","OK")</f>
        <v/>
      </c>
    </row>
    <row r="524">
      <c r="A524" s="9" t="inlineStr">
        <is>
          <t>Software/Apps</t>
        </is>
      </c>
      <c r="B524" s="17">
        <f>SUMPRODUCT((ISNUMBER('REGISTRO DE MOVIMIENTOS'!$A$3:$A$500))*(MONTH(IF(ISNUMBER('REGISTRO DE MOVIMIENTOS'!$A$3:$A$500),'REGISTRO DE MOVIMIENTOS'!$A$3:$A$500,TODAY()))=MONTH(TODAY()))*(YEAR(IF(ISNUMBER('REGISTRO DE MOVIMIENTOS'!$A$3:$A$500),'REGISTRO DE MOVIMIENTOS'!$A$3:$A$500,TODAY()))=YEAR(TODAY()))*('REGISTRO DE MOVIMIENTOS'!$D$3:$D$500="Gasto")*('REGISTRO DE MOVIMIENTOS'!$E$3:$E$500="Software/Apps")*('REGISTRO DE MOVIMIENTOS'!$H$3:$H$500))</f>
        <v/>
      </c>
      <c r="C524" s="18">
        <f>B524/'PRESUPUESTO MENSUAL'!$D$3</f>
        <v/>
      </c>
      <c r="D524" s="17">
        <f>SUMPRODUCT((ISNUMBER('REGISTRO DE MOVIMIENTOS'!$A$3:$A$500))*(YEAR(IF(ISNUMBER('REGISTRO DE MOVIMIENTOS'!$A$3:$A$500),'REGISTRO DE MOVIMIENTOS'!$A$3:$A$500,TODAY()))=2026)*('REGISTRO DE MOVIMIENTOS'!$D$3:$D$500="Gasto")*('REGISTRO DE MOVIMIENTOS'!$E$3:$E$500="Software/Apps")*('REGISTRO DE MOVIMIENTOS'!$H$3:$H$500))</f>
        <v/>
      </c>
      <c r="E524" s="24">
        <f>IF(B524&gt;'PRESUPUESTO MENSUAL'!$D$3*0.05,"EXCEDIDO","OK")</f>
        <v/>
      </c>
    </row>
    <row r="525">
      <c r="A525" s="8" t="inlineStr">
        <is>
          <t>Otros</t>
        </is>
      </c>
      <c r="B525" s="19">
        <f>SUMPRODUCT((ISNUMBER('REGISTRO DE MOVIMIENTOS'!$A$3:$A$500))*(MONTH(IF(ISNUMBER('REGISTRO DE MOVIMIENTOS'!$A$3:$A$500),'REGISTRO DE MOVIMIENTOS'!$A$3:$A$500,TODAY()))=MONTH(TODAY()))*(YEAR(IF(ISNUMBER('REGISTRO DE MOVIMIENTOS'!$A$3:$A$500),'REGISTRO DE MOVIMIENTOS'!$A$3:$A$500,TODAY()))=YEAR(TODAY()))*('REGISTRO DE MOVIMIENTOS'!$D$3:$D$500="Gasto")*('REGISTRO DE MOVIMIENTOS'!$E$3:$E$500="Otros")*('REGISTRO DE MOVIMIENTOS'!$H$3:$H$500))</f>
        <v/>
      </c>
      <c r="C525" s="20">
        <f>B525/'PRESUPUESTO MENSUAL'!$D$3</f>
        <v/>
      </c>
      <c r="D525" s="19">
        <f>SUMPRODUCT((ISNUMBER('REGISTRO DE MOVIMIENTOS'!$A$3:$A$500))*(YEAR(IF(ISNUMBER('REGISTRO DE MOVIMIENTOS'!$A$3:$A$500),'REGISTRO DE MOVIMIENTOS'!$A$3:$A$500,TODAY()))=2026)*('REGISTRO DE MOVIMIENTOS'!$D$3:$D$500="Gasto")*('REGISTRO DE MOVIMIENTOS'!$E$3:$E$500="Otros")*('REGISTRO DE MOVIMIENTOS'!$H$3:$H$500))</f>
        <v/>
      </c>
      <c r="E525" s="23">
        <f>IF(B525&gt;'PRESUPUESTO MENSUAL'!$D$3*0.05,"EXCEDIDO","OK")</f>
        <v/>
      </c>
    </row>
    <row r="526">
      <c r="A526" s="4" t="inlineStr">
        <is>
          <t>TOTAL GASTOS VARIABLES DEL MES</t>
        </is>
      </c>
      <c r="B526" s="21">
        <f>SUMPRODUCT((ISNUMBER('REGISTRO DE MOVIMIENTOS'!$A$3:$A$500))*(MONTH(IF(ISNUMBER('REGISTRO DE MOVIMIENTOS'!$A$3:$A$500),'REGISTRO DE MOVIMIENTOS'!$A$3:$A$500,TODAY()))=MONTH(TODAY()))*(YEAR(IF(ISNUMBER('REGISTRO DE MOVIMIENTOS'!$A$3:$A$500),'REGISTRO DE MOVIMIENTOS'!$A$3:$A$500,TODAY()))=YEAR(TODAY()))*('REGISTRO DE MOVIMIENTOS'!$D$3:$D$500="Gasto")*('REGISTRO DE MOVIMIENTOS'!$H$3:$H$500))</f>
        <v/>
      </c>
      <c r="C526" s="22">
        <f>B526/'PRESUPUESTO MENSUAL'!$D$3</f>
        <v/>
      </c>
      <c r="D526" s="21">
        <f>SUMPRODUCT((ISNUMBER('REGISTRO DE MOVIMIENTOS'!$A$3:$A$500))*(YEAR(IF(ISNUMBER('REGISTRO DE MOVIMIENTOS'!$A$3:$A$500),'REGISTRO DE MOVIMIENTOS'!$A$3:$A$500,TODAY()))=2026)*('REGISTRO DE MOVIMIENTOS'!$D$3:$D$500="Gasto")*('REGISTRO DE MOVIMIENTOS'!$H$3:$H$500))</f>
        <v/>
      </c>
    </row>
  </sheetData>
  <mergeCells count="3">
    <mergeCell ref="A512:E512"/>
    <mergeCell ref="A502:G502"/>
    <mergeCell ref="A1:G1"/>
  </mergeCells>
  <dataValidations count="1">
    <dataValidation sqref="C3:C1000" showDropDown="0" showInputMessage="0" showErrorMessage="0" allowBlank="1" type="list">
      <formula1>"Restaurantes,Amazon,Ocio,Compras impulsivas,Suscripciones,Otros"</formula1>
    </dataValidation>
  </dataValidation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I1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4" customWidth="1" min="3" max="3"/>
    <col width="2" customWidth="1" min="4" max="4"/>
    <col width="12" customWidth="1" min="5" max="5"/>
    <col width="15" customWidth="1" min="6" max="6"/>
    <col width="14" customWidth="1" min="7" max="7"/>
    <col width="2" customWidth="1" min="8" max="8"/>
  </cols>
  <sheetData>
    <row r="1" ht="30" customHeight="1">
      <c r="A1" s="1" t="inlineStr">
        <is>
          <t>RANKING DE MEJORES MESES - TOP 5 HISTORICO</t>
        </is>
      </c>
    </row>
    <row r="3">
      <c r="A3" s="1" t="inlineStr">
        <is>
          <t>MEJORES MESES - INGRESOS</t>
        </is>
      </c>
      <c r="D3" s="1" t="inlineStr">
        <is>
          <t>MEJORES MESES - AHORRO</t>
        </is>
      </c>
      <c r="G3" s="1" t="inlineStr">
        <is>
          <t>MEJORES MESES - TRADING</t>
        </is>
      </c>
    </row>
    <row r="4">
      <c r="A4" s="7" t="inlineStr">
        <is>
          <t>Posicion</t>
        </is>
      </c>
      <c r="B4" s="7" t="inlineStr">
        <is>
          <t>Mes</t>
        </is>
      </c>
      <c r="C4" s="7" t="inlineStr">
        <is>
          <t>Importe</t>
        </is>
      </c>
      <c r="D4" s="7" t="inlineStr">
        <is>
          <t>Posicion</t>
        </is>
      </c>
      <c r="E4" s="7" t="inlineStr">
        <is>
          <t>Mes</t>
        </is>
      </c>
      <c r="F4" s="7" t="inlineStr">
        <is>
          <t>Importe</t>
        </is>
      </c>
      <c r="G4" s="7" t="inlineStr">
        <is>
          <t>Posicion</t>
        </is>
      </c>
      <c r="H4" s="7" t="inlineStr">
        <is>
          <t>Mes</t>
        </is>
      </c>
      <c r="I4" s="7" t="inlineStr">
        <is>
          <t>Importe</t>
        </is>
      </c>
    </row>
    <row r="5">
      <c r="A5" s="2" t="inlineStr">
        <is>
          <t>1ro</t>
        </is>
      </c>
      <c r="B5" s="2" t="inlineStr">
        <is>
          <t>-</t>
        </is>
      </c>
      <c r="C5" s="31" t="n">
        <v>0</v>
      </c>
      <c r="D5" s="2" t="inlineStr">
        <is>
          <t>1ro</t>
        </is>
      </c>
      <c r="E5" s="2" t="inlineStr">
        <is>
          <t>-</t>
        </is>
      </c>
      <c r="F5" s="31" t="n">
        <v>0</v>
      </c>
      <c r="G5" s="2" t="inlineStr">
        <is>
          <t>1ro</t>
        </is>
      </c>
      <c r="H5" s="2" t="inlineStr">
        <is>
          <t>-</t>
        </is>
      </c>
      <c r="I5" s="31" t="n">
        <v>0</v>
      </c>
    </row>
    <row r="6">
      <c r="A6" s="5" t="inlineStr">
        <is>
          <t>2do</t>
        </is>
      </c>
      <c r="B6" s="5" t="inlineStr">
        <is>
          <t>-</t>
        </is>
      </c>
      <c r="C6" s="32" t="n">
        <v>0</v>
      </c>
      <c r="D6" s="5" t="inlineStr">
        <is>
          <t>2do</t>
        </is>
      </c>
      <c r="E6" s="5" t="inlineStr">
        <is>
          <t>-</t>
        </is>
      </c>
      <c r="F6" s="32" t="n">
        <v>0</v>
      </c>
      <c r="G6" s="5" t="inlineStr">
        <is>
          <t>2do</t>
        </is>
      </c>
      <c r="H6" s="5" t="inlineStr">
        <is>
          <t>-</t>
        </is>
      </c>
      <c r="I6" s="32" t="n">
        <v>0</v>
      </c>
    </row>
    <row r="7">
      <c r="A7" s="10" t="inlineStr">
        <is>
          <t>3ro</t>
        </is>
      </c>
      <c r="B7" s="10" t="inlineStr">
        <is>
          <t>-</t>
        </is>
      </c>
      <c r="C7" s="33" t="n">
        <v>0</v>
      </c>
      <c r="D7" s="10" t="inlineStr">
        <is>
          <t>3ro</t>
        </is>
      </c>
      <c r="E7" s="10" t="inlineStr">
        <is>
          <t>-</t>
        </is>
      </c>
      <c r="F7" s="33" t="n">
        <v>0</v>
      </c>
      <c r="G7" s="10" t="inlineStr">
        <is>
          <t>3ro</t>
        </is>
      </c>
      <c r="H7" s="10" t="inlineStr">
        <is>
          <t>-</t>
        </is>
      </c>
      <c r="I7" s="33" t="n">
        <v>0</v>
      </c>
    </row>
    <row r="8">
      <c r="A8" s="5" t="inlineStr">
        <is>
          <t>4to</t>
        </is>
      </c>
      <c r="B8" s="5" t="inlineStr">
        <is>
          <t>-</t>
        </is>
      </c>
      <c r="C8" s="32" t="n">
        <v>0</v>
      </c>
      <c r="D8" s="5" t="inlineStr">
        <is>
          <t>4to</t>
        </is>
      </c>
      <c r="E8" s="5" t="inlineStr">
        <is>
          <t>-</t>
        </is>
      </c>
      <c r="F8" s="32" t="n">
        <v>0</v>
      </c>
      <c r="G8" s="5" t="inlineStr">
        <is>
          <t>4to</t>
        </is>
      </c>
      <c r="H8" s="5" t="inlineStr">
        <is>
          <t>-</t>
        </is>
      </c>
      <c r="I8" s="32" t="n">
        <v>0</v>
      </c>
    </row>
    <row r="9">
      <c r="A9" s="10" t="inlineStr">
        <is>
          <t>5to</t>
        </is>
      </c>
      <c r="B9" s="10" t="inlineStr">
        <is>
          <t>-</t>
        </is>
      </c>
      <c r="C9" s="33" t="n">
        <v>0</v>
      </c>
      <c r="D9" s="10" t="inlineStr">
        <is>
          <t>5to</t>
        </is>
      </c>
      <c r="E9" s="10" t="inlineStr">
        <is>
          <t>-</t>
        </is>
      </c>
      <c r="F9" s="33" t="n">
        <v>0</v>
      </c>
      <c r="G9" s="10" t="inlineStr">
        <is>
          <t>5to</t>
        </is>
      </c>
      <c r="H9" s="10" t="inlineStr">
        <is>
          <t>-</t>
        </is>
      </c>
      <c r="I9" s="33" t="n">
        <v>0</v>
      </c>
    </row>
    <row r="12">
      <c r="A12" s="10" t="inlineStr">
        <is>
          <t>NOTA: Actualiza manualmente los valores de este ranking con tus datos mensuales.</t>
        </is>
      </c>
    </row>
  </sheetData>
  <mergeCells count="5">
    <mergeCell ref="A1:I1"/>
    <mergeCell ref="D3:F3"/>
    <mergeCell ref="A3:C3"/>
    <mergeCell ref="G3:I3"/>
    <mergeCell ref="A12:I12"/>
  </mergeCells>
  <pageMargins left="0.75" right="0.75" top="1" bottom="1" header="0.5" footer="0.5"/>
  <pageSetup orientation="landscape" fitToWidth="1"/>
</worksheet>
</file>

<file path=xl/worksheets/sheet14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D15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50" customWidth="1" min="2" max="2"/>
  </cols>
  <sheetData>
    <row r="1" ht="30" customHeight="1">
      <c r="A1" s="1" t="inlineStr">
        <is>
          <t>LIBERTAD FINANCIERA - COBERTURA CON TRADING</t>
        </is>
      </c>
    </row>
    <row r="3">
      <c r="A3" s="5" t="inlineStr">
        <is>
          <t>Gastos mensuales fijos</t>
        </is>
      </c>
      <c r="B3" s="19" t="n">
        <v>1575</v>
      </c>
    </row>
    <row r="4">
      <c r="A4" s="10" t="inlineStr">
        <is>
          <t>Beneficio medio mensual trading (editar)</t>
        </is>
      </c>
      <c r="B4" s="17">
        <f>IFERROR(SUM('DASHBOARD DE TRADING'!C3:C500)/MAX(1,COUNTA('DASHBOARD DE TRADING'!A3:A500)),0)</f>
        <v/>
      </c>
    </row>
    <row r="5">
      <c r="A5" s="4" t="inlineStr">
        <is>
          <t>% Cobertura actual</t>
        </is>
      </c>
      <c r="B5" s="22">
        <f>B4/B3</f>
        <v/>
      </c>
    </row>
    <row r="6">
      <c r="A6" s="10" t="inlineStr">
        <is>
          <t>Meses con datos de trading</t>
        </is>
      </c>
      <c r="B6" s="34" t="n">
        <v>0</v>
      </c>
    </row>
    <row r="8">
      <c r="A8" s="9" t="inlineStr">
        <is>
          <t>Progreso libertad financiera:</t>
        </is>
      </c>
      <c r="B8" s="10">
        <f>TEXT(MIN(B5,1),"0.0%")&amp;" de cobertura de gastos con trading"</f>
        <v/>
      </c>
    </row>
    <row r="9">
      <c r="A9" s="35" t="inlineStr">
        <is>
          <t>Estado actual:</t>
        </is>
      </c>
      <c r="B9" s="35">
        <f>"El trading cubre el "&amp;TEXT(B5,"0.0%")&amp;" de tus gastos mensuales fijos"</f>
        <v/>
      </c>
    </row>
    <row r="11">
      <c r="A11" s="1" t="inlineStr">
        <is>
          <t>HITOS DE LIBERTAD FINANCIERA</t>
        </is>
      </c>
    </row>
    <row r="12">
      <c r="A12" s="10" t="inlineStr">
        <is>
          <t>25%</t>
        </is>
      </c>
      <c r="B12" s="10" t="inlineStr">
        <is>
          <t>25% - Inicio del camino: trading cubre 1/4 de gastos</t>
        </is>
      </c>
    </row>
    <row r="13">
      <c r="A13" s="10" t="inlineStr">
        <is>
          <t>50%</t>
        </is>
      </c>
      <c r="B13" s="10" t="inlineStr">
        <is>
          <t>50% - Punto medio: trading cubre la mitad de gastos</t>
        </is>
      </c>
    </row>
    <row r="14">
      <c r="A14" s="10" t="inlineStr">
        <is>
          <t>75%</t>
        </is>
      </c>
      <c r="B14" s="10" t="inlineStr">
        <is>
          <t>75% - Casi libre: solo 25% depende del empleo</t>
        </is>
      </c>
    </row>
    <row r="15">
      <c r="A15" s="10" t="inlineStr">
        <is>
          <t>100%</t>
        </is>
      </c>
      <c r="B15" s="10" t="inlineStr">
        <is>
          <t>100% - LIBERTAD FINANCIERA: trading cubre todos los gastos</t>
        </is>
      </c>
    </row>
  </sheetData>
  <mergeCells count="2">
    <mergeCell ref="A1:D1"/>
    <mergeCell ref="A11:D11"/>
  </mergeCells>
  <pageMargins left="0.75" right="0.75" top="1" bottom="1" header="0.5" footer="0.5"/>
  <pageSetup orientation="landscape" fitToWidth="1"/>
</worksheet>
</file>

<file path=xl/worksheets/sheet15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F16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20" customWidth="1" min="4" max="4"/>
    <col width="24" customWidth="1" min="5" max="5"/>
    <col width="20" customWidth="1" min="6" max="6"/>
  </cols>
  <sheetData>
    <row r="1" ht="30" customHeight="1">
      <c r="A1" s="1" t="inlineStr">
        <is>
          <t>PROYECCIONES FUTURAS - 1, 3 Y 5 ANOS</t>
        </is>
      </c>
    </row>
    <row r="3">
      <c r="A3" s="1" t="inlineStr">
        <is>
          <t>PARAMETROS DE ENTRADA (edita las celdas doradas)</t>
        </is>
      </c>
    </row>
    <row r="4">
      <c r="A4" s="9" t="inlineStr">
        <is>
          <t>Ingreso medio mensual neto</t>
        </is>
      </c>
      <c r="B4" s="25" t="n">
        <v>2000</v>
      </c>
    </row>
    <row r="5">
      <c r="A5" s="9" t="inlineStr">
        <is>
          <t>Ahorro fijo mensual (editar)</t>
        </is>
      </c>
      <c r="B5" s="25" t="n">
        <v>100</v>
      </c>
    </row>
    <row r="6">
      <c r="A6" s="9" t="inlineStr">
        <is>
          <t>Bankroll fijo mensual (editar)</t>
        </is>
      </c>
      <c r="B6" s="25" t="n">
        <v>100</v>
      </c>
    </row>
    <row r="7">
      <c r="A7" s="9" t="inlineStr">
        <is>
          <t>Beneficio medio mensual trading</t>
        </is>
      </c>
      <c r="B7" s="25" t="n">
        <v>0</v>
      </c>
    </row>
    <row r="8">
      <c r="A8" s="9" t="inlineStr">
        <is>
          <t>Rentabilidad anual inversion %</t>
        </is>
      </c>
      <c r="B8" s="26" t="n">
        <v>0.05</v>
      </c>
    </row>
    <row r="10">
      <c r="A10" s="1" t="inlineStr">
        <is>
          <t>TABLA DE PROYECCIONES</t>
        </is>
      </c>
    </row>
    <row r="11">
      <c r="A11" s="7" t="inlineStr">
        <is>
          <t>Anio</t>
        </is>
      </c>
      <c r="B11" s="7" t="inlineStr">
        <is>
          <t>Ahorro Acum. (EUR)</t>
        </is>
      </c>
      <c r="C11" s="7" t="inlineStr">
        <is>
          <t>Bankroll (EUR)</t>
        </is>
      </c>
      <c r="D11" s="7" t="inlineStr">
        <is>
          <t>Patrimonio Total (EUR)</t>
        </is>
      </c>
      <c r="E11" s="7" t="inlineStr">
        <is>
          <t>Benef. Trading Acum. (EUR)</t>
        </is>
      </c>
      <c r="F11" s="7" t="inlineStr">
        <is>
          <t>Libertad Fin. %</t>
        </is>
      </c>
    </row>
    <row r="12">
      <c r="A12" s="8" t="inlineStr">
        <is>
          <t>Anio 1</t>
        </is>
      </c>
      <c r="B12" s="19">
        <f>$B$5*12*1</f>
        <v/>
      </c>
      <c r="C12" s="19">
        <f>$B$6*12*1</f>
        <v/>
      </c>
      <c r="D12" s="19">
        <f>B12+C12</f>
        <v/>
      </c>
      <c r="E12" s="19">
        <f>$B$7*12*1</f>
        <v/>
      </c>
      <c r="F12" s="20">
        <f>IFERROR($B$7/1575,0)</f>
        <v/>
      </c>
    </row>
    <row r="13">
      <c r="A13" s="9" t="inlineStr">
        <is>
          <t>Anio 2</t>
        </is>
      </c>
      <c r="B13" s="17">
        <f>$B$5*12*2</f>
        <v/>
      </c>
      <c r="C13" s="17">
        <f>$B$6*12*2</f>
        <v/>
      </c>
      <c r="D13" s="17">
        <f>B13+C13</f>
        <v/>
      </c>
      <c r="E13" s="17">
        <f>$B$7*12*2</f>
        <v/>
      </c>
      <c r="F13" s="18">
        <f>IFERROR($B$7/1575,0)</f>
        <v/>
      </c>
    </row>
    <row r="14">
      <c r="A14" s="8" t="inlineStr">
        <is>
          <t>Anio 3</t>
        </is>
      </c>
      <c r="B14" s="19">
        <f>$B$5*12*3</f>
        <v/>
      </c>
      <c r="C14" s="19">
        <f>$B$6*12*3</f>
        <v/>
      </c>
      <c r="D14" s="19">
        <f>B14+C14</f>
        <v/>
      </c>
      <c r="E14" s="19">
        <f>$B$7*12*3</f>
        <v/>
      </c>
      <c r="F14" s="20">
        <f>IFERROR($B$7/1575,0)</f>
        <v/>
      </c>
    </row>
    <row r="15">
      <c r="A15" s="9" t="inlineStr">
        <is>
          <t>Anio 4</t>
        </is>
      </c>
      <c r="B15" s="17">
        <f>$B$5*12*4</f>
        <v/>
      </c>
      <c r="C15" s="17">
        <f>$B$6*12*4</f>
        <v/>
      </c>
      <c r="D15" s="17">
        <f>B15+C15</f>
        <v/>
      </c>
      <c r="E15" s="17">
        <f>$B$7*12*4</f>
        <v/>
      </c>
      <c r="F15" s="18">
        <f>IFERROR($B$7/1575,0)</f>
        <v/>
      </c>
    </row>
    <row r="16">
      <c r="A16" s="8" t="inlineStr">
        <is>
          <t>Anio 5</t>
        </is>
      </c>
      <c r="B16" s="19">
        <f>$B$5*12*5</f>
        <v/>
      </c>
      <c r="C16" s="19">
        <f>$B$6*12*5</f>
        <v/>
      </c>
      <c r="D16" s="19">
        <f>B16+C16</f>
        <v/>
      </c>
      <c r="E16" s="19">
        <f>$B$7*12*5</f>
        <v/>
      </c>
      <c r="F16" s="20">
        <f>IFERROR($B$7/1575,0)</f>
        <v/>
      </c>
    </row>
  </sheetData>
  <mergeCells count="3">
    <mergeCell ref="A3:F3"/>
    <mergeCell ref="A1:F1"/>
    <mergeCell ref="A10:F10"/>
  </mergeCell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FD7E14"/>
    <outlinePr summaryBelow="1" summaryRight="1"/>
    <pageSetUpPr fitToPage="1"/>
  </sheetPr>
  <dimension ref="A1:D17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30" customWidth="1" min="3" max="3"/>
    <col width="18" customWidth="1" min="4" max="4"/>
  </cols>
  <sheetData>
    <row r="1" ht="30" customHeight="1">
      <c r="A1" s="1" t="inlineStr">
        <is>
          <t>SCORE DEL TRADER - EVALUACION INTEGRAL 0-100</t>
        </is>
      </c>
    </row>
    <row r="3">
      <c r="A3" s="1" t="inlineStr">
        <is>
          <t>COMPONENTES DEL SCORE</t>
        </is>
      </c>
    </row>
    <row r="4">
      <c r="A4" s="7" t="inlineStr">
        <is>
          <t>Componente</t>
        </is>
      </c>
      <c r="B4" s="7" t="inlineStr">
        <is>
          <t>Peso</t>
        </is>
      </c>
      <c r="C4" s="7" t="inlineStr">
        <is>
          <t>Descripcion</t>
        </is>
      </c>
      <c r="D4" s="7" t="inlineStr">
        <is>
          <t>Puntos (max 20)</t>
        </is>
      </c>
    </row>
    <row r="5">
      <c r="A5" s="9" t="inlineStr">
        <is>
          <t>Cumplimiento Ahorro</t>
        </is>
      </c>
      <c r="B5" s="24" t="inlineStr">
        <is>
          <t>20 pts</t>
        </is>
      </c>
      <c r="C5" s="10" t="inlineStr">
        <is>
          <t>Actualiza con % cumplimiento ahorro</t>
        </is>
      </c>
      <c r="D5" s="30" t="n">
        <v>0</v>
      </c>
    </row>
    <row r="6">
      <c r="A6" s="8" t="inlineStr">
        <is>
          <t>Cumplimiento Bankroll</t>
        </is>
      </c>
      <c r="B6" s="23" t="inlineStr">
        <is>
          <t>20 pts</t>
        </is>
      </c>
      <c r="C6" s="5" t="inlineStr">
        <is>
          <t>Actualiza con % cumplimiento bankroll</t>
        </is>
      </c>
      <c r="D6" s="36" t="n">
        <v>0</v>
      </c>
    </row>
    <row r="7">
      <c r="A7" s="9" t="inlineStr">
        <is>
          <t>Control de Gastos</t>
        </is>
      </c>
      <c r="B7" s="24" t="inlineStr">
        <is>
          <t>20 pts</t>
        </is>
      </c>
      <c r="C7" s="10" t="inlineStr">
        <is>
          <t>Actualiza segun control de gastos</t>
        </is>
      </c>
      <c r="D7" s="30" t="n">
        <v>0</v>
      </c>
    </row>
    <row r="8">
      <c r="A8" s="8" t="inlineStr">
        <is>
          <t>Crecimiento Patrimonio</t>
        </is>
      </c>
      <c r="B8" s="23" t="inlineStr">
        <is>
          <t>20 pts</t>
        </is>
      </c>
      <c r="C8" s="5" t="inlineStr">
        <is>
          <t>Actualiza con crecimiento patrimonio</t>
        </is>
      </c>
      <c r="D8" s="36" t="n">
        <v>0</v>
      </c>
    </row>
    <row r="9">
      <c r="A9" s="9" t="inlineStr">
        <is>
          <t>Resultados Trading</t>
        </is>
      </c>
      <c r="B9" s="24" t="inlineStr">
        <is>
          <t>20 pts</t>
        </is>
      </c>
      <c r="C9" s="10" t="inlineStr">
        <is>
          <t>Actualiza con resultados de trading</t>
        </is>
      </c>
      <c r="D9" s="30" t="n">
        <v>0</v>
      </c>
    </row>
    <row r="10">
      <c r="A10" s="2" t="inlineStr">
        <is>
          <t>SCORE TOTAL DEL TRADER (sobre 100)</t>
        </is>
      </c>
      <c r="D10" s="37">
        <f>ROUND(SUM(D5:D9),1)</f>
        <v/>
      </c>
    </row>
    <row r="12">
      <c r="A12" s="1" t="inlineStr">
        <is>
          <t>SEMAFORO DE EVALUACION</t>
        </is>
      </c>
    </row>
    <row r="13" ht="18" customHeight="1">
      <c r="A13" s="11" t="inlineStr">
        <is>
          <t>SCORE &gt;= 70 - EXCELENTE: Vas por buen camino, manten el ritmo</t>
        </is>
      </c>
    </row>
    <row r="14" ht="18" customHeight="1">
      <c r="A14" s="2" t="inlineStr">
        <is>
          <t>SCORE 40-69 - MEJORABLE: Hay areas que necesitan atencion</t>
        </is>
      </c>
    </row>
    <row r="15" ht="18" customHeight="1">
      <c r="A15" s="12" t="inlineStr">
        <is>
          <t>SCORE &lt; 40 - ALERTA: Revisa tu estrategia financiera</t>
        </is>
      </c>
    </row>
    <row r="17">
      <c r="A17" s="9" t="inlineStr">
        <is>
          <t>Tu evaluacion:</t>
        </is>
      </c>
      <c r="B17" s="2">
        <f>IF(D10&gt;=70,"EXCELENTE - Score: "&amp;TEXT(D10,"0.0")&amp;"/100",IF(D10&gt;=40,"MEJORABLE - Score: "&amp;TEXT(D10,"0.0")&amp;"/100","ALERTA - Score: "&amp;TEXT(D10,"0.0")&amp;"/100"))</f>
        <v/>
      </c>
    </row>
  </sheetData>
  <mergeCells count="8">
    <mergeCell ref="A10:C10"/>
    <mergeCell ref="A1:D1"/>
    <mergeCell ref="A12:D12"/>
    <mergeCell ref="A3:D3"/>
    <mergeCell ref="B17:D17"/>
    <mergeCell ref="A15:D15"/>
    <mergeCell ref="A13:D13"/>
    <mergeCell ref="A14:D14"/>
  </mergeCells>
  <pageMargins left="0.75" right="0.75" top="1" bottom="1" header="0.5" footer="0.5"/>
  <pageSetup orientation="landscape" fitToWidth="1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A25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Nomina</t>
        </is>
      </c>
    </row>
    <row r="2">
      <c r="A2" t="inlineStr">
        <is>
          <t>Trading/Payout</t>
        </is>
      </c>
    </row>
    <row r="3">
      <c r="A3" t="inlineStr">
        <is>
          <t>Otro ingreso</t>
        </is>
      </c>
    </row>
    <row r="4">
      <c r="A4" t="inlineStr">
        <is>
          <t>Vivienda/Alquiler</t>
        </is>
      </c>
    </row>
    <row r="5">
      <c r="A5" t="inlineStr">
        <is>
          <t>Coche/Transporte</t>
        </is>
      </c>
    </row>
    <row r="6">
      <c r="A6" t="inlineStr">
        <is>
          <t>Gasolina</t>
        </is>
      </c>
    </row>
    <row r="7">
      <c r="A7" t="inlineStr">
        <is>
          <t>Parking</t>
        </is>
      </c>
    </row>
    <row r="8">
      <c r="A8" t="inlineStr">
        <is>
          <t>Supermercado</t>
        </is>
      </c>
    </row>
    <row r="9">
      <c r="A9" t="inlineStr">
        <is>
          <t>Restaurante</t>
        </is>
      </c>
    </row>
    <row r="10">
      <c r="A10" t="inlineStr">
        <is>
          <t>Cafeteria/Bar</t>
        </is>
      </c>
    </row>
    <row r="11">
      <c r="A11" t="inlineStr">
        <is>
          <t>Peluqueria/Estetica</t>
        </is>
      </c>
    </row>
    <row r="12">
      <c r="A12" t="inlineStr">
        <is>
          <t>Farmacia/Salud</t>
        </is>
      </c>
    </row>
    <row r="13">
      <c r="A13" t="inlineStr">
        <is>
          <t>Deporte/Gimnasio</t>
        </is>
      </c>
    </row>
    <row r="14">
      <c r="A14" t="inlineStr">
        <is>
          <t>Ropa/Calzado</t>
        </is>
      </c>
    </row>
    <row r="15">
      <c r="A15" t="inlineStr">
        <is>
          <t>Electronica/Amazon</t>
        </is>
      </c>
    </row>
    <row r="16">
      <c r="A16" t="inlineStr">
        <is>
          <t>Hogar</t>
        </is>
      </c>
    </row>
    <row r="17">
      <c r="A17" t="inlineStr">
        <is>
          <t>Ocio/Entretenimiento</t>
        </is>
      </c>
    </row>
    <row r="18">
      <c r="A18" t="inlineStr">
        <is>
          <t>Viajes/Vacaciones</t>
        </is>
      </c>
    </row>
    <row r="19">
      <c r="A19" t="inlineStr">
        <is>
          <t>Formacion/Suscripciones</t>
        </is>
      </c>
    </row>
    <row r="20">
      <c r="A20" t="inlineStr">
        <is>
          <t>TraderLab</t>
        </is>
      </c>
    </row>
    <row r="21">
      <c r="A21" t="inlineStr">
        <is>
          <t>Software/Apps</t>
        </is>
      </c>
    </row>
    <row r="22">
      <c r="A22" t="inlineStr">
        <is>
          <t>Ahorro</t>
        </is>
      </c>
    </row>
    <row r="23">
      <c r="A23" t="inlineStr">
        <is>
          <t>Bankroll</t>
        </is>
      </c>
    </row>
    <row r="24">
      <c r="A24" t="inlineStr">
        <is>
          <t>Transferencia</t>
        </is>
      </c>
    </row>
    <row r="25">
      <c r="A25" t="inlineStr">
        <is>
          <t>Otros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2026-06-07T11:33:53Z</dcterms:created>
  <dcterms:modified xsi:type="dcterms:W3CDTF">2026-06-07T11:33:54Z</dcterms:modified>
</cp:coreProperties>
</file>