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A DE USO" sheetId="1" state="visible" r:id="rId1"/>
    <sheet name="DASHBOARD EJECUTIVO" sheetId="2" state="visible" r:id="rId2"/>
    <sheet name="REGISTRO DE MOVIMIENTOS" sheetId="3" state="visible" r:id="rId3"/>
    <sheet name="PRESUPUESTO MENSUAL" sheetId="4" state="visible" r:id="rId4"/>
    <sheet name="CONTROL DE AHORRO" sheetId="5" state="visible" r:id="rId5"/>
    <sheet name="CONTROL DE BANKROLL" sheetId="6" state="visible" r:id="rId6"/>
    <sheet name="DASHBOARD DE TRADING" sheetId="7" state="visible" r:id="rId7"/>
    <sheet name="CONTROL DE PAYOUTS" sheetId="8" state="visible" r:id="rId8"/>
    <sheet name="PATRIMONIO NETO" sheetId="9" state="visible" r:id="rId9"/>
    <sheet name="FONDO DE EMERGENCIA" sheetId="10" state="visible" r:id="rId10"/>
    <sheet name="OBJETIVOS" sheetId="11" state="visible" r:id="rId11"/>
    <sheet name="GASTOS HORMIGA" sheetId="12" state="visible" r:id="rId12"/>
    <sheet name="COMPARATIVA MENSUAL" sheetId="13" state="visible" r:id="rId13"/>
    <sheet name="RANKING MEJORES MESES" sheetId="14" state="visible" r:id="rId14"/>
    <sheet name="LIBERTAD FINANCIERA" sheetId="15" state="visible" r:id="rId15"/>
    <sheet name="PROYECCIONES FUTURAS" sheetId="16" state="visible" r:id="rId16"/>
    <sheet name="SCORE DEL TRADER" sheetId="17" state="visible" r:id="rId17"/>
    <sheet name="_LISTAS" sheetId="18" state="hidden" r:id="rId18"/>
  </sheets>
  <definedNames>
    <definedName name="ListaCategorias">_LISTAS!$A$1:$A$25</definedName>
    <definedName name="_xlnm.Print_Area" localSheetId="0">'GUIA DE USO'!$A$1:$J$42</definedName>
    <definedName name="_xlnm.Print_Area" localSheetId="1">'DASHBOARD EJECUTIVO'!$A$1:$N$35</definedName>
    <definedName name="_xlnm._FilterDatabase" localSheetId="2" hidden="1">'REGISTRO DE MOVIMIENTOS'!$A$2:$J$2</definedName>
    <definedName name="_xlnm.Print_Area" localSheetId="2">'REGISTRO DE MOVIMIENTOS'!$A$1:$L$505</definedName>
    <definedName name="_xlnm.Print_Area" localSheetId="3">'PRESUPUESTO MENSUAL'!$A$1:$H$62</definedName>
    <definedName name="_xlnm.Print_Area" localSheetId="4">'CONTROL DE AHORRO'!$A$1:$H$19</definedName>
    <definedName name="_xlnm.Print_Area" localSheetId="5">'CONTROL DE BANKROLL'!$A$1:$G$17</definedName>
    <definedName name="_xlnm.Print_Area" localSheetId="6">'DASHBOARD DE TRADING'!$A$1:$G$515</definedName>
    <definedName name="_xlnm.Print_Area" localSheetId="7">'CONTROL DE PAYOUTS'!$A$1:$G$14</definedName>
    <definedName name="_xlnm.Print_Area" localSheetId="8">'PATRIMONIO NETO'!$A$1:$F$28</definedName>
    <definedName name="_xlnm.Print_Area" localSheetId="9">'FONDO DE EMERGENCIA'!$A$1:$F$28</definedName>
    <definedName name="_xlnm.Print_Area" localSheetId="10">'OBJETIVOS'!$A$1:$H$11</definedName>
    <definedName name="_xlnm.Print_Area" localSheetId="11">'GASTOS HORMIGA'!$A$1:$I$531</definedName>
    <definedName name="_xlnm.Print_Area" localSheetId="12">'COMPARATIVA MENSUAL'!$A$1:$Q$48</definedName>
    <definedName name="_xlnm.Print_Area" localSheetId="13">'RANKING MEJORES MESES'!$A$1:$K$17</definedName>
    <definedName name="_xlnm.Print_Area" localSheetId="14">'LIBERTAD FINANCIERA'!$A$1:$F$20</definedName>
    <definedName name="_xlnm.Print_Area" localSheetId="15">'PROYECCIONES FUTURAS'!$A$1:$H$21</definedName>
    <definedName name="_xlnm.Print_Area" localSheetId="16">'SCORE DEL TRADER'!$A$1:$F$22</definedName>
    <definedName name="_xlnm.Print_Area" localSheetId="17">'_LISTAS'!$A$1:$C$30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€"/>
    <numFmt numFmtId="165" formatCode="0.0%"/>
    <numFmt numFmtId="166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1F2D3D"/>
      <sz val="11"/>
    </font>
    <font>
      <name val="Calibri"/>
      <b val="1"/>
      <color rgb="001F2D3D"/>
      <sz val="10"/>
    </font>
    <font>
      <name val="Calibri"/>
      <color rgb="00212529"/>
      <sz val="10"/>
    </font>
    <font>
      <name val="Calibri"/>
      <b val="1"/>
      <color rgb="001F2D3D"/>
      <sz val="12"/>
    </font>
  </fonts>
  <fills count="13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2C3E50"/>
      </patternFill>
    </fill>
    <fill>
      <patternFill patternType="solid">
        <fgColor rgb="00F5A623"/>
      </patternFill>
    </fill>
    <fill>
      <patternFill patternType="solid">
        <fgColor rgb="0028A745"/>
      </patternFill>
    </fill>
    <fill>
      <patternFill patternType="solid">
        <fgColor rgb="00DC3545"/>
      </patternFill>
    </fill>
    <fill>
      <patternFill patternType="solid">
        <fgColor rgb="0020C997"/>
      </patternFill>
    </fill>
    <fill>
      <patternFill patternType="solid">
        <fgColor rgb="00FD7E14"/>
      </patternFill>
    </fill>
    <fill>
      <patternFill patternType="solid">
        <fgColor rgb="00007BFF"/>
      </patternFill>
    </fill>
    <fill>
      <patternFill patternType="solid">
        <fgColor rgb="00DEE2E6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28">
    <xf numFmtId="0" fontId="0" fillId="0" borderId="0"/>
    <xf numFmtId="0" fontId="1" fillId="2" borderId="1" applyAlignment="1">
      <alignment horizontal="center" vertical="center" wrapText="1"/>
    </xf>
    <xf numFmtId="0" fontId="2" fillId="2" borderId="1" applyAlignment="1">
      <alignment horizontal="center" vertical="center" wrapText="1"/>
    </xf>
    <xf numFmtId="0" fontId="1" fillId="3" borderId="1" applyAlignment="1">
      <alignment horizontal="center" vertical="center" wrapText="1"/>
    </xf>
    <xf numFmtId="0" fontId="3" fillId="4" borderId="1" applyAlignment="1">
      <alignment horizontal="center" vertical="center" wrapText="1"/>
    </xf>
    <xf numFmtId="0" fontId="3" fillId="4" borderId="1" applyAlignment="1">
      <alignment horizontal="right" vertical="center" wrapText="1"/>
    </xf>
    <xf numFmtId="0" fontId="4" fillId="4" borderId="1" applyAlignment="1">
      <alignment horizontal="left" vertical="center" wrapText="1"/>
    </xf>
    <xf numFmtId="0" fontId="2" fillId="5" borderId="1" applyAlignment="1">
      <alignment horizontal="center" vertical="center" wrapText="1"/>
    </xf>
    <xf numFmtId="0" fontId="2" fillId="6" borderId="1" applyAlignment="1">
      <alignment horizontal="center" vertical="center" wrapText="1"/>
    </xf>
    <xf numFmtId="0" fontId="2" fillId="7" borderId="1" applyAlignment="1">
      <alignment horizontal="center" vertical="center" wrapText="1"/>
    </xf>
    <xf numFmtId="0" fontId="2" fillId="8" borderId="1" applyAlignment="1">
      <alignment horizontal="center" vertical="center" wrapText="1"/>
    </xf>
    <xf numFmtId="0" fontId="2" fillId="9" borderId="1" applyAlignment="1">
      <alignment horizontal="center" vertical="center" wrapText="1"/>
    </xf>
    <xf numFmtId="0" fontId="4" fillId="10" borderId="1" applyAlignment="1">
      <alignment horizontal="center" vertical="center" wrapText="1"/>
    </xf>
    <xf numFmtId="0" fontId="5" fillId="11" borderId="1" applyAlignment="1">
      <alignment horizontal="left" vertical="center" wrapText="1"/>
    </xf>
    <xf numFmtId="0" fontId="5" fillId="11" borderId="1" applyAlignment="1">
      <alignment horizontal="right" vertical="center" wrapText="1"/>
    </xf>
    <xf numFmtId="0" fontId="5" fillId="11" borderId="1" applyAlignment="1">
      <alignment horizontal="center" vertical="center" wrapText="1"/>
    </xf>
    <xf numFmtId="0" fontId="5" fillId="12" borderId="1" applyAlignment="1">
      <alignment horizontal="left" vertical="center" wrapText="1"/>
    </xf>
    <xf numFmtId="0" fontId="5" fillId="12" borderId="1" applyAlignment="1">
      <alignment horizontal="right" vertical="center" wrapText="1"/>
    </xf>
    <xf numFmtId="0" fontId="5" fillId="12" borderId="1" applyAlignment="1">
      <alignment horizontal="center" vertical="center" wrapText="1"/>
    </xf>
    <xf numFmtId="0" fontId="4" fillId="11" borderId="1" applyAlignment="1">
      <alignment horizontal="left" vertical="center" wrapText="1"/>
    </xf>
    <xf numFmtId="0" fontId="4" fillId="11" borderId="1" applyAlignment="1">
      <alignment horizontal="right" vertical="center" wrapText="1"/>
    </xf>
    <xf numFmtId="0" fontId="6" fillId="4" borderId="1" applyAlignment="1">
      <alignment horizontal="right" vertical="center" wrapText="1"/>
    </xf>
    <xf numFmtId="0" fontId="4" fillId="11" borderId="1" applyAlignment="1">
      <alignment horizontal="left" vertical="center" wrapText="1"/>
    </xf>
    <xf numFmtId="0" fontId="4" fillId="11" borderId="1" applyAlignment="1">
      <alignment horizontal="right" vertical="center" wrapText="1"/>
    </xf>
    <xf numFmtId="0" fontId="4" fillId="11" borderId="1" applyAlignment="1">
      <alignment horizontal="center" vertical="center" wrapText="1"/>
    </xf>
    <xf numFmtId="0" fontId="4" fillId="12" borderId="1" applyAlignment="1">
      <alignment horizontal="left" vertical="center" wrapText="1"/>
    </xf>
    <xf numFmtId="0" fontId="4" fillId="12" borderId="1" applyAlignment="1">
      <alignment horizontal="right" vertical="center" wrapText="1"/>
    </xf>
    <xf numFmtId="0" fontId="4" fillId="12" borderId="1" applyAlignment="1">
      <alignment horizontal="center" vertical="center" wrapText="1"/>
    </xf>
  </cellStyleXfs>
  <cellXfs count="42">
    <xf numFmtId="0" fontId="0" fillId="0" borderId="0" pivotButton="0" quotePrefix="0" xfId="0"/>
    <xf numFmtId="0" fontId="1" fillId="2" borderId="1" applyAlignment="1" pivotButton="0" quotePrefix="0" xfId="1">
      <alignment horizontal="center" vertical="center" wrapText="1"/>
    </xf>
    <xf numFmtId="0" fontId="3" fillId="4" borderId="1" applyAlignment="1" pivotButton="0" quotePrefix="0" xfId="4">
      <alignment horizontal="center" vertical="center" wrapText="1"/>
    </xf>
    <xf numFmtId="0" fontId="1" fillId="3" borderId="1" applyAlignment="1" pivotButton="0" quotePrefix="0" xfId="3">
      <alignment horizontal="center" vertical="center" wrapText="1"/>
    </xf>
    <xf numFmtId="0" fontId="4" fillId="4" borderId="1" applyAlignment="1" pivotButton="0" quotePrefix="0" xfId="6">
      <alignment horizontal="left" vertical="center" wrapText="1"/>
    </xf>
    <xf numFmtId="0" fontId="5" fillId="11" borderId="1" applyAlignment="1" pivotButton="0" quotePrefix="0" xfId="13">
      <alignment horizontal="left" vertical="center" wrapText="1"/>
    </xf>
    <xf numFmtId="0" fontId="4" fillId="11" borderId="1" applyAlignment="1" pivotButton="0" quotePrefix="0" xfId="19">
      <alignment horizontal="left" vertical="center" wrapText="1"/>
    </xf>
    <xf numFmtId="0" fontId="4" fillId="10" borderId="1" applyAlignment="1" pivotButton="0" quotePrefix="0" xfId="12">
      <alignment horizontal="center" vertical="center" wrapText="1"/>
    </xf>
    <xf numFmtId="0" fontId="4" fillId="11" borderId="1" applyAlignment="1" pivotButton="0" quotePrefix="0" xfId="22">
      <alignment horizontal="left" vertical="center" wrapText="1"/>
    </xf>
    <xf numFmtId="0" fontId="4" fillId="12" borderId="1" applyAlignment="1" pivotButton="0" quotePrefix="0" xfId="25">
      <alignment horizontal="left" vertical="center" wrapText="1"/>
    </xf>
    <xf numFmtId="0" fontId="5" fillId="12" borderId="1" applyAlignment="1" pivotButton="0" quotePrefix="0" xfId="16">
      <alignment horizontal="left" vertical="center" wrapText="1"/>
    </xf>
    <xf numFmtId="0" fontId="2" fillId="5" borderId="1" applyAlignment="1" pivotButton="0" quotePrefix="0" xfId="7">
      <alignment horizontal="center" vertical="center" wrapText="1"/>
    </xf>
    <xf numFmtId="0" fontId="2" fillId="6" borderId="1" applyAlignment="1" pivotButton="0" quotePrefix="0" xfId="8">
      <alignment horizontal="center" vertical="center" wrapText="1"/>
    </xf>
    <xf numFmtId="0" fontId="2" fillId="2" borderId="1" applyAlignment="1" pivotButton="0" quotePrefix="0" xfId="2">
      <alignment horizontal="center" vertical="center" wrapText="1"/>
    </xf>
    <xf numFmtId="164" fontId="5" fillId="11" borderId="1" applyAlignment="1" pivotButton="0" quotePrefix="0" xfId="15">
      <alignment horizontal="center" vertical="center" wrapText="1"/>
    </xf>
    <xf numFmtId="165" fontId="5" fillId="11" borderId="1" applyAlignment="1" pivotButton="0" quotePrefix="0" xfId="15">
      <alignment horizontal="center" vertical="center" wrapText="1"/>
    </xf>
    <xf numFmtId="166" fontId="5" fillId="11" borderId="1" applyAlignment="1" pivotButton="0" quotePrefix="0" xfId="15">
      <alignment horizontal="center" vertical="center" wrapText="1"/>
    </xf>
    <xf numFmtId="164" fontId="5" fillId="12" borderId="1" applyAlignment="1" pivotButton="0" quotePrefix="0" xfId="17">
      <alignment horizontal="right" vertical="center" wrapText="1"/>
    </xf>
    <xf numFmtId="165" fontId="5" fillId="12" borderId="1" applyAlignment="1" pivotButton="0" quotePrefix="0" xfId="17">
      <alignment horizontal="right" vertical="center" wrapText="1"/>
    </xf>
    <xf numFmtId="164" fontId="5" fillId="11" borderId="1" applyAlignment="1" pivotButton="0" quotePrefix="0" xfId="14">
      <alignment horizontal="right" vertical="center" wrapText="1"/>
    </xf>
    <xf numFmtId="165" fontId="5" fillId="11" borderId="1" applyAlignment="1" pivotButton="0" quotePrefix="0" xfId="14">
      <alignment horizontal="right" vertical="center" wrapText="1"/>
    </xf>
    <xf numFmtId="164" fontId="3" fillId="4" borderId="1" applyAlignment="1" pivotButton="0" quotePrefix="0" xfId="5">
      <alignment horizontal="right" vertical="center" wrapText="1"/>
    </xf>
    <xf numFmtId="165" fontId="3" fillId="4" borderId="1" applyAlignment="1" pivotButton="0" quotePrefix="0" xfId="5">
      <alignment horizontal="right" vertical="center" wrapText="1"/>
    </xf>
    <xf numFmtId="0" fontId="5" fillId="11" borderId="1" applyAlignment="1" pivotButton="0" quotePrefix="0" xfId="15">
      <alignment horizontal="center" vertical="center" wrapText="1"/>
    </xf>
    <xf numFmtId="0" fontId="5" fillId="12" borderId="1" applyAlignment="1" pivotButton="0" quotePrefix="0" xfId="18">
      <alignment horizontal="center" vertical="center" wrapText="1"/>
    </xf>
    <xf numFmtId="164" fontId="6" fillId="4" borderId="1" applyAlignment="1" pivotButton="0" quotePrefix="0" xfId="21">
      <alignment horizontal="right" vertical="center" wrapText="1"/>
    </xf>
    <xf numFmtId="1" fontId="6" fillId="4" borderId="1" applyAlignment="1" pivotButton="0" quotePrefix="0" xfId="21">
      <alignment horizontal="right" vertical="center" wrapText="1"/>
    </xf>
    <xf numFmtId="165" fontId="6" fillId="4" borderId="1" applyAlignment="1" pivotButton="0" quotePrefix="0" xfId="21">
      <alignment horizontal="right" vertical="center" wrapText="1"/>
    </xf>
    <xf numFmtId="3" fontId="5" fillId="11" borderId="1" applyAlignment="1" pivotButton="0" quotePrefix="0" xfId="14">
      <alignment horizontal="right" vertical="center" wrapText="1"/>
    </xf>
    <xf numFmtId="164" fontId="2" fillId="5" borderId="1" applyAlignment="1" pivotButton="0" quotePrefix="0" xfId="7">
      <alignment horizontal="center" vertical="center" wrapText="1"/>
    </xf>
    <xf numFmtId="164" fontId="2" fillId="6" borderId="1" applyAlignment="1" pivotButton="0" quotePrefix="0" xfId="8">
      <alignment horizontal="center" vertical="center" wrapText="1"/>
    </xf>
    <xf numFmtId="166" fontId="5" fillId="12" borderId="1" applyAlignment="1" pivotButton="0" quotePrefix="0" xfId="17">
      <alignment horizontal="right" vertical="center" wrapText="1"/>
    </xf>
    <xf numFmtId="164" fontId="4" fillId="11" borderId="1" applyAlignment="1" pivotButton="0" quotePrefix="0" xfId="20">
      <alignment horizontal="right" vertical="center" wrapText="1"/>
    </xf>
    <xf numFmtId="164" fontId="4" fillId="12" borderId="1" applyAlignment="1" pivotButton="0" quotePrefix="0" xfId="26">
      <alignment horizontal="right" vertical="center" wrapText="1"/>
    </xf>
    <xf numFmtId="164" fontId="4" fillId="11" borderId="1" applyAlignment="1" pivotButton="0" quotePrefix="0" xfId="23">
      <alignment horizontal="right" vertical="center" wrapText="1"/>
    </xf>
    <xf numFmtId="164" fontId="3" fillId="4" borderId="1" applyAlignment="1" pivotButton="0" quotePrefix="0" xfId="4">
      <alignment horizontal="center" vertical="center" wrapText="1"/>
    </xf>
    <xf numFmtId="164" fontId="5" fillId="11" borderId="1" applyAlignment="1" pivotButton="0" quotePrefix="0" xfId="13">
      <alignment horizontal="left" vertical="center" wrapText="1"/>
    </xf>
    <xf numFmtId="164" fontId="5" fillId="12" borderId="1" applyAlignment="1" pivotButton="0" quotePrefix="0" xfId="16">
      <alignment horizontal="left" vertical="center" wrapText="1"/>
    </xf>
    <xf numFmtId="3" fontId="5" fillId="12" borderId="1" applyAlignment="1" pivotButton="0" quotePrefix="0" xfId="17">
      <alignment horizontal="right" vertical="center" wrapText="1"/>
    </xf>
    <xf numFmtId="0" fontId="2" fillId="7" borderId="1" applyAlignment="1" pivotButton="0" quotePrefix="0" xfId="9">
      <alignment horizontal="center" vertical="center" wrapText="1"/>
    </xf>
    <xf numFmtId="166" fontId="5" fillId="11" borderId="1" applyAlignment="1" pivotButton="0" quotePrefix="0" xfId="14">
      <alignment horizontal="right" vertical="center" wrapText="1"/>
    </xf>
    <xf numFmtId="166" fontId="3" fillId="4" borderId="1" applyAlignment="1" pivotButton="0" quotePrefix="0" xfId="5">
      <alignment horizontal="right" vertical="center" wrapText="1"/>
    </xf>
  </cellXfs>
  <cellStyles count="28">
    <cellStyle name="Normal" xfId="0" builtinId="0" hidden="0"/>
    <cellStyle name="header" xfId="1" hidden="0"/>
    <cellStyle name="header_sm" xfId="2" hidden="0"/>
    <cellStyle name="subheader" xfId="3" hidden="0"/>
    <cellStyle name="gold" xfId="4" hidden="0"/>
    <cellStyle name="gold_r" xfId="5" hidden="0"/>
    <cellStyle name="gold_l" xfId="6" hidden="0"/>
    <cellStyle name="green" xfId="7" hidden="0"/>
    <cellStyle name="red" xfId="8" hidden="0"/>
    <cellStyle name="teal" xfId="9" hidden="0"/>
    <cellStyle name="orange" xfId="10" hidden="0"/>
    <cellStyle name="blue" xfId="11" hidden="0"/>
    <cellStyle name="col_hdr" xfId="12" hidden="0"/>
    <cellStyle name="data_l" xfId="13" hidden="0"/>
    <cellStyle name="data_r" xfId="14" hidden="0"/>
    <cellStyle name="data_c" xfId="15" hidden="0"/>
    <cellStyle name="alt_l" xfId="16" hidden="0"/>
    <cellStyle name="alt_r" xfId="17" hidden="0"/>
    <cellStyle name="alt_c" xfId="18" hidden="0"/>
    <cellStyle name="bold_l" xfId="19" hidden="0"/>
    <cellStyle name="bold_r" xfId="20" hidden="0"/>
    <cellStyle name="input" xfId="21" hidden="0"/>
    <cellStyle name="bdata_l" xfId="22" hidden="0"/>
    <cellStyle name="bdata_r" xfId="23" hidden="0"/>
    <cellStyle name="bdata_c" xfId="24" hidden="0"/>
    <cellStyle name="balt_l" xfId="25" hidden="0"/>
    <cellStyle name="balt_r" xfId="26" hidden="0"/>
    <cellStyle name="balt_c" xfId="27" hidden="0"/>
  </cellStyles>
  <dxfs count="6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DC3545"/>
        </patternFill>
      </fill>
    </dxf>
    <dxf>
      <fill>
        <patternFill patternType="solid">
          <fgColor rgb="00FFC107"/>
        </patternFill>
      </fill>
    </dxf>
    <dxf>
      <fill>
        <patternFill patternType="solid">
          <fgColor rgb="0028A7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Ahorro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DE AHORRO'!E2</f>
            </strRef>
          </tx>
          <spPr>
            <a:ln w="25000">
              <a:solidFill>
                <a:srgbClr val="20C99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DE AHORRO'!$E$3:$E$12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Bankroll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BANKROLL'!E2</f>
            </strRef>
          </tx>
          <spPr>
            <a:ln>
              <a:prstDash val="solid"/>
            </a:ln>
          </spPr>
          <val>
            <numRef>
              <f>'CONTROL DE BANKROLL'!$E$3:$E$12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Resultados Trading (EUR)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DE TRADING'!C2</f>
            </strRef>
          </tx>
          <spPr>
            <a:ln>
              <a:prstDash val="solid"/>
            </a:ln>
          </spPr>
          <val>
            <numRef>
              <f>'DASHBOARD DE TRADING'!$C$3:$C$12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Operacion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Payouts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PAYOUTS'!C2</f>
            </strRef>
          </tx>
          <spPr>
            <a:ln>
              <a:prstDash val="solid"/>
            </a:ln>
          </spPr>
          <val>
            <numRef>
              <f>'CONTROL DE PAYOUTS'!$C$3:$C$12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Patrimonio Neto</a:t>
            </a:r>
          </a:p>
        </rich>
      </tx>
    </title>
    <plotArea>
      <areaChart>
        <grouping val="standard"/>
        <ser>
          <idx val="0"/>
          <order val="0"/>
          <tx>
            <strRef>
              <f>'PATRIMONIO NETO'!D23</f>
            </strRef>
          </tx>
          <spPr>
            <a:ln>
              <a:prstDash val="solid"/>
            </a:ln>
          </spPr>
          <val>
            <numRef>
              <f>'PATRIMONIO NETO'!$D$24:$D$29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Distribucion Gastos Hormiga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'GASTOS HORMIGA'!$A$504:$A$508</f>
            </numRef>
          </cat>
          <val>
            <numRef>
              <f>'GASTOS HORMIGA'!$B$504:$B$508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Ingresos vs Gastos por Mes 2026</a:t>
            </a:r>
          </a:p>
        </rich>
      </tx>
    </title>
    <plotArea>
      <barChart>
        <barDir val="col"/>
        <grouping val="clustered"/>
        <ser>
          <idx val="0"/>
          <order val="0"/>
          <tx>
            <v>Ingresos</v>
          </tx>
          <spPr>
            <a:solidFill>
              <a:srgbClr val="28A745"/>
            </a:solidFill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MENSUAL'!$B$41</f>
            </numRef>
          </val>
        </ser>
        <ser>
          <idx val="1"/>
          <order val="1"/>
          <tx>
            <v>Gastos</v>
          </tx>
          <spPr>
            <a:solidFill>
              <a:srgbClr val="DC3545"/>
            </a:solidFill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MENSUAL'!$C$41</f>
            </numRef>
          </val>
        </ser>
        <ser>
          <idx val="2"/>
          <order val="2"/>
          <tx>
            <v>Ahorro Real</v>
          </tx>
          <spPr>
            <a:solidFill>
              <a:srgbClr val="007BFF"/>
            </a:solidFill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MENSUAL'!$D$41</f>
            </numRef>
          </val>
        </ser>
        <ser>
          <idx val="3"/>
          <order val="3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MENSUAL'!$E$41</f>
            </numRef>
          </val>
        </ser>
        <ser>
          <idx val="4"/>
          <order val="4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MENSUAL'!$F$41</f>
            </numRef>
          </val>
        </ser>
        <ser>
          <idx val="5"/>
          <order val="5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MENSUAL'!$G$41</f>
            </numRef>
          </val>
        </ser>
        <ser>
          <idx val="6"/>
          <order val="6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MENSUAL'!$H$41</f>
            </numRef>
          </val>
        </ser>
        <ser>
          <idx val="7"/>
          <order val="7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MENSUAL'!$I$41</f>
            </numRef>
          </val>
        </ser>
        <ser>
          <idx val="8"/>
          <order val="8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MENSUAL'!$J$41</f>
            </numRef>
          </val>
        </ser>
        <ser>
          <idx val="9"/>
          <order val="9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MENSUAL'!$K$41</f>
            </numRef>
          </val>
        </ser>
        <ser>
          <idx val="10"/>
          <order val="10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MENSUAL'!$L$41</f>
            </numRef>
          </val>
        </ser>
        <ser>
          <idx val="11"/>
          <order val="11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MENSUAL'!$M$41</f>
            </numRef>
          </val>
        </ser>
        <ser>
          <idx val="12"/>
          <order val="12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MENSUAL'!$B$40</f>
            </numRef>
          </val>
        </ser>
        <ser>
          <idx val="13"/>
          <order val="13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MENSUAL'!$C$40</f>
            </numRef>
          </val>
        </ser>
        <ser>
          <idx val="14"/>
          <order val="14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MENSUAL'!$D$40</f>
            </numRef>
          </val>
        </ser>
        <ser>
          <idx val="15"/>
          <order val="15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MENSUAL'!$E$40</f>
            </numRef>
          </val>
        </ser>
        <ser>
          <idx val="16"/>
          <order val="16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MENSUAL'!$F$40</f>
            </numRef>
          </val>
        </ser>
        <ser>
          <idx val="17"/>
          <order val="17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MENSUAL'!$G$40</f>
            </numRef>
          </val>
        </ser>
        <ser>
          <idx val="18"/>
          <order val="18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MENSUAL'!$H$40</f>
            </numRef>
          </val>
        </ser>
        <ser>
          <idx val="19"/>
          <order val="19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MENSUAL'!$I$40</f>
            </numRef>
          </val>
        </ser>
        <ser>
          <idx val="20"/>
          <order val="20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MENSUAL'!$J$40</f>
            </numRef>
          </val>
        </ser>
        <ser>
          <idx val="21"/>
          <order val="21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MENSUAL'!$K$40</f>
            </numRef>
          </val>
        </ser>
        <ser>
          <idx val="22"/>
          <order val="22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MENSUAL'!$L$40</f>
            </numRef>
          </val>
        </ser>
        <ser>
          <idx val="23"/>
          <order val="23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MENSUAL'!$M$40</f>
            </numRef>
          </val>
        </ser>
        <ser>
          <idx val="24"/>
          <order val="24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MENSUAL'!$B$42</f>
            </numRef>
          </val>
        </ser>
        <ser>
          <idx val="25"/>
          <order val="25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MENSUAL'!$C$42</f>
            </numRef>
          </val>
        </ser>
        <ser>
          <idx val="26"/>
          <order val="26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MENSUAL'!$D$42</f>
            </numRef>
          </val>
        </ser>
        <ser>
          <idx val="27"/>
          <order val="27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MENSUAL'!$E$42</f>
            </numRef>
          </val>
        </ser>
        <ser>
          <idx val="28"/>
          <order val="28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MENSUAL'!$F$42</f>
            </numRef>
          </val>
        </ser>
        <ser>
          <idx val="29"/>
          <order val="29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MENSUAL'!$G$42</f>
            </numRef>
          </val>
        </ser>
        <ser>
          <idx val="30"/>
          <order val="30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MENSUAL'!$H$42</f>
            </numRef>
          </val>
        </ser>
        <ser>
          <idx val="31"/>
          <order val="31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MENSUAL'!$I$42</f>
            </numRef>
          </val>
        </ser>
        <ser>
          <idx val="32"/>
          <order val="32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MENSUAL'!$J$42</f>
            </numRef>
          </val>
        </ser>
        <ser>
          <idx val="33"/>
          <order val="33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MENSUAL'!$K$42</f>
            </numRef>
          </val>
        </ser>
        <ser>
          <idx val="34"/>
          <order val="34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MENSUAL'!$L$42</f>
            </numRef>
          </val>
        </ser>
        <ser>
          <idx val="35"/>
          <order val="35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MENSUAL'!$M$42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Proyeccion Patrimonial a 5 Anos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'PROYECCIONES FUTURAS'!B11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FUTURAS'!$B$12:$B$16</f>
            </numRef>
          </val>
        </ser>
        <ser>
          <idx val="1"/>
          <order val="1"/>
          <tx>
            <strRef>
              <f>'PROYECCIONES FUTURAS'!C11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FUTURAS'!$C$12:$C$16</f>
            </numRef>
          </val>
        </ser>
        <ser>
          <idx val="2"/>
          <order val="2"/>
          <tx>
            <strRef>
              <f>'PROYECCIONES FUTURAS'!D11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FUTURAS'!$D$12:$D$16</f>
            </numRef>
          </val>
        </ser>
        <ser>
          <idx val="3"/>
          <order val="3"/>
          <tx>
            <strRef>
              <f>'PROYECCIONES FUTURAS'!E11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FUTURAS'!$E$12:$E$16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Sistema</author>
  </authors>
  <commentList>
    <comment ref="D3" authorId="0" shapeId="0">
      <text>
        <t>Cambia este valor cada mes. Todo el sistema se actualiza automaticamente.</t>
      </text>
    </comment>
    <comment ref="B5" authorId="0" shapeId="0">
      <text>
        <t>Cambia B5 (mes 1-12) y E5 (anio) para ver los datos de cualquier mes.
Ejemplo: B5=7, E5=2026 muestra julio 2026.
Todo el seguimiento y dashboard se actualizan solos.</t>
      </text>
    </comment>
    <comment ref="B17" authorId="0" shapeId="0">
      <text>
        <t>Importe fijo minimo para bankroll. Aumentalo en meses buenos.</t>
      </text>
    </comment>
    <comment ref="B18" authorId="0" shapeId="0">
      <text>
        <t>Importe fijo minimo para ahorro. Aumentalo en meses buenos.</t>
      </text>
    </comment>
    <comment ref="B19" authorId="0" shapeId="0">
      <text>
        <t>Porcentaje del sobrante real (despues de fijos + bankroll + ahorro).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45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tabColor rgb="00F5A623"/>
    <outlinePr summaryBelow="1" summaryRight="1"/>
    <pageSetUpPr fitToPage="1"/>
  </sheetPr>
  <dimension ref="A1:H3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80" customWidth="1" min="2" max="2"/>
  </cols>
  <sheetData>
    <row r="1" ht="35" customHeight="1">
      <c r="A1" s="1" t="inlineStr">
        <is>
          <t>GUIA DE USO - SISTEMA FINANCIERO PERSONAL</t>
        </is>
      </c>
    </row>
    <row r="2" ht="22" customHeight="1">
      <c r="A2" s="2" t="inlineStr">
        <is>
          <t>Sistema para el control integral de finanzas personales y profesionales | Inicio: Junio 2026</t>
        </is>
      </c>
    </row>
    <row r="4" ht="25" customHeight="1">
      <c r="A4" s="3" t="inlineStr">
        <is>
          <t>COMO CAMBIAR EL INGRESO MENSUAL</t>
        </is>
      </c>
    </row>
    <row r="5" ht="25" customHeight="1">
      <c r="A5" s="4" t="inlineStr">
        <is>
          <t>PASO 1: Ve a la pestana 'PRESUPUESTO MENSUAL' (tercera pestana del libro)</t>
        </is>
      </c>
    </row>
    <row r="6" ht="25" customHeight="1">
      <c r="A6" s="4" t="inlineStr">
        <is>
          <t>PASO 2: Localiza la celda D3 — tiene fondo AMARILLO/DORADO y letra grande</t>
        </is>
      </c>
    </row>
    <row r="7" ht="25" customHeight="1">
      <c r="A7" s="4" t="inlineStr">
        <is>
          <t>PASO 3: Haz doble clic en D3 y escribe tu nuevo ingreso neto mensual</t>
        </is>
      </c>
    </row>
    <row r="8" ht="25" customHeight="1">
      <c r="A8" s="4" t="inlineStr">
        <is>
          <t>PASO 4: Pulsa ENTER — todo el sistema se actualiza automaticamente</t>
        </is>
      </c>
    </row>
    <row r="9" ht="25" customHeight="1">
      <c r="A9" s="5" t="inlineStr"/>
    </row>
    <row r="10" ht="25" customHeight="1">
      <c r="A10" s="6" t="inlineStr">
        <is>
          <t>NOTA IMPORTANTE: La celda D3 de PRESUPUESTO MENSUAL es el unico valor que debes</t>
        </is>
      </c>
    </row>
    <row r="11" ht="25" customHeight="1">
      <c r="A11" s="5" t="inlineStr">
        <is>
          <t>cambiar cada mes. Todos los calculos del sistema usan ese valor como referencia.</t>
        </is>
      </c>
    </row>
    <row r="13" ht="25" customHeight="1">
      <c r="A13" s="3" t="inlineStr">
        <is>
          <t>DESCRIPCION DE LAS HOJAS DEL SISTEMA</t>
        </is>
      </c>
    </row>
    <row r="14" ht="20" customHeight="1">
      <c r="A14" s="7" t="inlineStr">
        <is>
          <t>Hoja</t>
        </is>
      </c>
      <c r="B14" s="7" t="inlineStr">
        <is>
          <t>Descripcion y uso</t>
        </is>
      </c>
    </row>
    <row r="15" ht="30" customHeight="1">
      <c r="A15" s="8" t="inlineStr">
        <is>
          <t>DASHBOARD EJECUTIVO</t>
        </is>
      </c>
      <c r="B15" s="5" t="inlineStr">
        <is>
          <t>Panel principal con todos los KPIs financieros.</t>
        </is>
      </c>
    </row>
    <row r="16" ht="30" customHeight="1">
      <c r="A16" s="9" t="inlineStr">
        <is>
          <t>REGISTRO DE MOVIMIENTOS</t>
        </is>
      </c>
      <c r="B16" s="10" t="inlineStr">
        <is>
          <t>Registra TODOS tus ingresos y gastos. Es la hoja mas importante.</t>
        </is>
      </c>
    </row>
    <row r="17" ht="30" customHeight="1">
      <c r="A17" s="8" t="inlineStr">
        <is>
          <t>PRESUPUESTO MENSUAL</t>
        </is>
      </c>
      <c r="B17" s="5" t="inlineStr">
        <is>
          <t>Define tu presupuesto. Introduce el ingreso en D3 (celda dorada).</t>
        </is>
      </c>
    </row>
    <row r="18" ht="30" customHeight="1">
      <c r="A18" s="9" t="inlineStr">
        <is>
          <t>CONTROL DE AHORRO</t>
        </is>
      </c>
      <c r="B18" s="10" t="inlineStr">
        <is>
          <t>Registra aportaciones al ahorro mensual.</t>
        </is>
      </c>
    </row>
    <row r="19" ht="30" customHeight="1">
      <c r="A19" s="8" t="inlineStr">
        <is>
          <t>CONTROL DE BANKROLL</t>
        </is>
      </c>
      <c r="B19" s="5" t="inlineStr">
        <is>
          <t>Registra aportaciones al bankroll de trading (10% del ingreso).</t>
        </is>
      </c>
    </row>
    <row r="20" ht="30" customHeight="1">
      <c r="A20" s="9" t="inlineStr">
        <is>
          <t>DASHBOARD DE TRADING</t>
        </is>
      </c>
      <c r="B20" s="10" t="inlineStr">
        <is>
          <t>Registra resultados de trading. Calcula ROI y evolucion.</t>
        </is>
      </c>
    </row>
    <row r="21" ht="30" customHeight="1">
      <c r="A21" s="8" t="inlineStr">
        <is>
          <t>CONTROL DE PAYOUTS</t>
        </is>
      </c>
      <c r="B21" s="5" t="inlineStr">
        <is>
          <t>Registra pagos recibidos de plataformas de trading.</t>
        </is>
      </c>
    </row>
    <row r="22" ht="30" customHeight="1">
      <c r="A22" s="9" t="inlineStr">
        <is>
          <t>PATRIMONIO NETO</t>
        </is>
      </c>
      <c r="B22" s="10" t="inlineStr">
        <is>
          <t>Calcula tu patrimonio neto (Activos - Pasivos).</t>
        </is>
      </c>
    </row>
    <row r="23" ht="30" customHeight="1">
      <c r="A23" s="8" t="inlineStr">
        <is>
          <t>FONDO DE EMERGENCIA</t>
        </is>
      </c>
      <c r="B23" s="5" t="inlineStr">
        <is>
          <t>Controla el progreso hacia tu fondo de emergencia.</t>
        </is>
      </c>
    </row>
    <row r="24" ht="30" customHeight="1">
      <c r="A24" s="9" t="inlineStr">
        <is>
          <t>OBJETIVOS</t>
        </is>
      </c>
      <c r="B24" s="10" t="inlineStr">
        <is>
          <t>Define y sigue el progreso de tus objetivos financieros anuales.</t>
        </is>
      </c>
    </row>
    <row r="25" ht="30" customHeight="1">
      <c r="A25" s="8" t="inlineStr">
        <is>
          <t>GASTOS HORMIGA</t>
        </is>
      </c>
      <c r="B25" s="5" t="inlineStr">
        <is>
          <t>Registra gastos pequenos recurrentes. Detecta fugas de dinero.</t>
        </is>
      </c>
    </row>
    <row r="26" ht="30" customHeight="1">
      <c r="A26" s="9" t="inlineStr">
        <is>
          <t>COMPARATIVA MENSUAL</t>
        </is>
      </c>
      <c r="B26" s="10" t="inlineStr">
        <is>
          <t>Tabla automatica mes a mes: ingresos, gastos y ahorro real enero-diciembre.</t>
        </is>
      </c>
    </row>
    <row r="27" ht="30" customHeight="1">
      <c r="A27" s="8" t="inlineStr">
        <is>
          <t>RANKING MEJORES MESES</t>
        </is>
      </c>
      <c r="B27" s="5" t="inlineStr">
        <is>
          <t>Ranking de mejores meses. Actualiza con tus datos.</t>
        </is>
      </c>
    </row>
    <row r="28" ht="30" customHeight="1">
      <c r="A28" s="9" t="inlineStr">
        <is>
          <t>LIBERTAD FINANCIERA</t>
        </is>
      </c>
      <c r="B28" s="10" t="inlineStr">
        <is>
          <t>Mide el porcentaje de cobertura de gastos con ingresos de trading.</t>
        </is>
      </c>
    </row>
    <row r="29" ht="30" customHeight="1">
      <c r="A29" s="8" t="inlineStr">
        <is>
          <t>PROYECCIONES FUTURAS</t>
        </is>
      </c>
      <c r="B29" s="5" t="inlineStr">
        <is>
          <t>Proyecciones a 1, 3 y 5 anos basadas en parametros actuales.</t>
        </is>
      </c>
    </row>
    <row r="30" ht="30" customHeight="1">
      <c r="A30" s="9" t="inlineStr">
        <is>
          <t>SCORE DEL TRADER</t>
        </is>
      </c>
      <c r="B30" s="10" t="inlineStr">
        <is>
          <t>Puntuacion 0-100 que evalua tu desempeno financiero.</t>
        </is>
      </c>
    </row>
    <row r="31" ht="22" customHeight="1">
      <c r="A31" s="3" t="inlineStr">
        <is>
          <t>LEYENDA DE COLORES</t>
        </is>
      </c>
    </row>
    <row r="32" ht="20" customHeight="1">
      <c r="A32" s="11" t="inlineStr">
        <is>
          <t>VERDE: Indicador positivo / objetivo cumplido / dentro de presupuesto</t>
        </is>
      </c>
    </row>
    <row r="33" ht="20" customHeight="1">
      <c r="A33" s="2" t="inlineStr">
        <is>
          <t>DORADO: Subtitulos, totales y valores destacados (tambien la celda de ingreso D3)</t>
        </is>
      </c>
    </row>
    <row r="34" ht="20" customHeight="1">
      <c r="A34" s="12" t="inlineStr">
        <is>
          <t>ROJO: Alerta / presupuesto excedido / objetivo no alcanzado</t>
        </is>
      </c>
    </row>
    <row r="35" ht="20" customHeight="1">
      <c r="A35" s="1" t="inlineStr">
        <is>
          <t>AZUL OSCURO: Cabeceras de tablas y secciones principales</t>
        </is>
      </c>
    </row>
    <row r="36" ht="20" customHeight="1">
      <c r="A36" s="7" t="inlineStr">
        <is>
          <t>GRIS: Cabeceras de columnas</t>
        </is>
      </c>
    </row>
    <row r="37" ht="20" customHeight="1">
      <c r="A37" s="10" t="inlineStr">
        <is>
          <t>GRIS CLARO: Filas alternas para mejor legibilidad</t>
        </is>
      </c>
    </row>
  </sheetData>
  <mergeCells count="18">
    <mergeCell ref="A1:H1"/>
    <mergeCell ref="A4:H4"/>
    <mergeCell ref="A9:H9"/>
    <mergeCell ref="A35:H35"/>
    <mergeCell ref="A7:H7"/>
    <mergeCell ref="A31:H31"/>
    <mergeCell ref="A2:H2"/>
    <mergeCell ref="A10:H10"/>
    <mergeCell ref="A13:H13"/>
    <mergeCell ref="A11:H11"/>
    <mergeCell ref="A33:H33"/>
    <mergeCell ref="A36:H36"/>
    <mergeCell ref="A5:H5"/>
    <mergeCell ref="A37:H37"/>
    <mergeCell ref="A32:H32"/>
    <mergeCell ref="A8:H8"/>
    <mergeCell ref="A6:H6"/>
    <mergeCell ref="A34:H34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F2D3D"/>
    <outlinePr summaryBelow="1" summaryRight="1"/>
    <pageSetUpPr fitToPage="1"/>
  </sheetPr>
  <dimension ref="A1:L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40" customHeight="1">
      <c r="A1" s="1" t="inlineStr">
        <is>
          <t>DASHBOARD EJECUTIVO - SISTEMA FINANCIERO PERSONAL 2026</t>
        </is>
      </c>
    </row>
    <row r="2" ht="20" customHeight="1">
      <c r="A2" s="3" t="inlineStr">
        <is>
          <t>Sistema de control financiero integral | Inicio: Junio 2026 | Referencia: 2.000 EUR/mes</t>
        </is>
      </c>
    </row>
    <row r="3" ht="22" customHeight="1">
      <c r="A3" s="2" t="inlineStr">
        <is>
          <t>INGRESO MENSUAL: Para cambiar el ingreso ve a la hoja 'PRESUPUESTO MENSUAL' y edita la celda D3 (dorada)</t>
        </is>
      </c>
    </row>
    <row r="5" ht="22" customHeight="1">
      <c r="A5" s="3" t="inlineStr">
        <is>
          <t>KPIs PRINCIPALES - JUNIO 2026</t>
        </is>
      </c>
    </row>
    <row r="6" ht="18" customHeight="1">
      <c r="A6" s="13" t="inlineStr">
        <is>
          <t>Ingreso del Mes (D3 PRESUPUESTO)</t>
        </is>
      </c>
      <c r="C6" s="13" t="inlineStr">
        <is>
          <t>Gastos Reales (mes actual)</t>
        </is>
      </c>
      <c r="E6" s="13" t="inlineStr">
        <is>
          <t>Flujo de Caja (mes actual)</t>
        </is>
      </c>
      <c r="G6" s="13" t="inlineStr">
        <is>
          <t>Ahorro Mensual</t>
        </is>
      </c>
      <c r="I6" s="13" t="inlineStr">
        <is>
          <t>Ahorro Acumulado</t>
        </is>
      </c>
      <c r="K6" s="13" t="inlineStr">
        <is>
          <t>Bankroll Capital</t>
        </is>
      </c>
    </row>
    <row r="7" ht="28" customHeight="1">
      <c r="A7" s="14">
        <f>'PRESUPUESTO MENSUAL'!$D$3</f>
        <v/>
      </c>
      <c r="C7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MOVIMIENTOS'!$H$3:$H$500))</f>
        <v/>
      </c>
      <c r="E7" s="14">
        <f>'PRESUPUESTO MENSUAL'!$D$3-(SUMPRODUCT((ISNUMBER('REGISTRO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MOVIMIENTOS'!$H$3:$H$500)))</f>
        <v/>
      </c>
      <c r="G7" s="14">
        <f>'CONTROL DE AHORRO'!D3</f>
        <v/>
      </c>
      <c r="I7" s="14">
        <f>MAX('CONTROL DE AHORRO'!E3:E1000)</f>
        <v/>
      </c>
      <c r="K7" s="14">
        <f>MAX('CONTROL DE BANKROLL'!E3:E1000)</f>
        <v/>
      </c>
    </row>
    <row r="8" ht="12" customHeight="1"/>
    <row r="9" ht="18" customHeight="1">
      <c r="A9" s="13" t="inlineStr">
        <is>
          <t>Benef. Trading (mes actual)</t>
        </is>
      </c>
      <c r="C9" s="13" t="inlineStr">
        <is>
          <t>Payouts Cobrados</t>
        </is>
      </c>
      <c r="E9" s="13" t="inlineStr">
        <is>
          <t>Patrimonio Neto</t>
        </is>
      </c>
      <c r="G9" s="13" t="inlineStr">
        <is>
          <t>ROI Trading %</t>
        </is>
      </c>
      <c r="I9" s="13" t="inlineStr">
        <is>
          <t>Score Financiero /100</t>
        </is>
      </c>
      <c r="K9" s="13" t="inlineStr">
        <is>
          <t>Libertad Financiera %</t>
        </is>
      </c>
    </row>
    <row r="10" ht="28" customHeight="1">
      <c r="A10" s="14">
        <f>SUMPRODUCT((ISNUMBER('DASHBOARD DE TRADING'!A3:A500))*(MONTH(IF(ISNUMBER('DASHBOARD DE TRADING'!A3:A500),'DASHBOARD DE TRADING'!A3:A500,TODAY()))=MONTH(TODAY()))*(YEAR(IF(ISNUMBER('DASHBOARD DE TRADING'!A3:A500),'DASHBOARD DE TRADING'!A3:A500,TODAY()))=YEAR(TODAY()))*('DASHBOARD DE TRADING'!C3:C500))</f>
        <v/>
      </c>
      <c r="C10" s="14">
        <f>SUMIF('CONTROL DE PAYOUTS'!D3:D1000,"Cobrado",'CONTROL DE PAYOUTS'!C3:C1000)</f>
        <v/>
      </c>
      <c r="E10" s="14">
        <f>'PATRIMONIO NETO'!B20</f>
        <v/>
      </c>
      <c r="G10" s="15">
        <f>IFERROR(SUM('DASHBOARD DE TRADING'!C3:C1000)/MAX('CONTROL DE BANKROLL'!E3:E1000),0)</f>
        <v/>
      </c>
      <c r="I10" s="16">
        <f>'SCORE DEL TRADER'!D10</f>
        <v/>
      </c>
      <c r="K10" s="15">
        <f>'LIBERTAD FINANCIERA'!B5</f>
        <v/>
      </c>
    </row>
    <row r="11" ht="12" customHeight="1"/>
    <row r="13" ht="22" customHeight="1">
      <c r="A13" s="3" t="inlineStr">
        <is>
          <t>RESUMEN PRESUPUESTARIO MENSUAL</t>
        </is>
      </c>
    </row>
    <row r="14">
      <c r="A14" s="7" t="inlineStr">
        <is>
          <t>Concepto</t>
        </is>
      </c>
      <c r="C14" s="7" t="inlineStr">
        <is>
          <t>Importe</t>
        </is>
      </c>
      <c r="E14" s="7" t="inlineStr">
        <is>
          <t>% Ingreso</t>
        </is>
      </c>
    </row>
    <row r="15">
      <c r="A15" s="10" t="inlineStr">
        <is>
          <t>Ingreso Neto (PRESUPUESTO MENSUAL D3)</t>
        </is>
      </c>
      <c r="C15" s="17">
        <f>'PRESUPUESTO MENSUAL'!$D$3</f>
        <v/>
      </c>
      <c r="E15" s="18">
        <f>C15/'PRESUPUESTO MENSUAL'!$D$3</f>
        <v/>
      </c>
    </row>
    <row r="16">
      <c r="A16" s="5" t="inlineStr">
        <is>
          <t>Gastos Fijos</t>
        </is>
      </c>
      <c r="C16" s="19">
        <f>'PRESUPUESTO MENSUAL'!$C$12</f>
        <v/>
      </c>
      <c r="E16" s="20">
        <f>C16/'PRESUPUESTO MENSUAL'!$D$3</f>
        <v/>
      </c>
    </row>
    <row r="17">
      <c r="A17" s="10" t="inlineStr">
        <is>
          <t>Bankroll (fijo)</t>
        </is>
      </c>
      <c r="C17" s="17">
        <f>'PRESUPUESTO MENSUAL'!$C$17</f>
        <v/>
      </c>
      <c r="E17" s="18">
        <f>C17/'PRESUPUESTO MENSUAL'!$D$3</f>
        <v/>
      </c>
    </row>
    <row r="18">
      <c r="A18" s="5" t="inlineStr">
        <is>
          <t>Ahorro (fijo)</t>
        </is>
      </c>
      <c r="C18" s="19">
        <f>'PRESUPUESTO MENSUAL'!$C$18</f>
        <v/>
      </c>
      <c r="E18" s="20">
        <f>C18/'PRESUPUESTO MENSUAL'!$D$3</f>
        <v/>
      </c>
    </row>
    <row r="19">
      <c r="A19" s="10" t="inlineStr">
        <is>
          <t>Caprichos</t>
        </is>
      </c>
      <c r="C19" s="17">
        <f>'PRESUPUESTO MENSUAL'!$C$19</f>
        <v/>
      </c>
      <c r="E19" s="18">
        <f>C19/'PRESUPUESTO MENSUAL'!$D$3</f>
        <v/>
      </c>
    </row>
    <row r="20">
      <c r="A20" s="4" t="inlineStr">
        <is>
          <t>DISPONIBLE</t>
        </is>
      </c>
      <c r="C20" s="21">
        <f>'PRESUPUESTO MENSUAL'!$C$28</f>
        <v/>
      </c>
      <c r="E20" s="22">
        <f>C20/'PRESUPUESTO MENSUAL'!$D$3</f>
        <v/>
      </c>
    </row>
    <row r="22" ht="22" customHeight="1">
      <c r="A22" s="3" t="inlineStr">
        <is>
          <t>GASTOS POR CATEGORIA DEL MES ACTUAL (desde REGISTRO)</t>
        </is>
      </c>
    </row>
    <row r="23" ht="18" customHeight="1">
      <c r="A23" s="13" t="inlineStr">
        <is>
          <t>Vivienda/Alquiler</t>
        </is>
      </c>
      <c r="C23" s="13" t="inlineStr">
        <is>
          <t>Coche/Transporte</t>
        </is>
      </c>
      <c r="E23" s="13" t="inlineStr">
        <is>
          <t>Gasolina</t>
        </is>
      </c>
      <c r="G23" s="13" t="inlineStr">
        <is>
          <t>Supermercado</t>
        </is>
      </c>
      <c r="I23" s="13" t="inlineStr">
        <is>
          <t>Restaurante</t>
        </is>
      </c>
      <c r="K23" s="13" t="inlineStr">
        <is>
          <t>Cafeteria/Bar</t>
        </is>
      </c>
    </row>
    <row r="24" ht="28" customHeight="1">
      <c r="A24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MOVIMIENTOS'!$E$3:$E$500="Vivienda/Alquiler")*('REGISTRO DE MOVIMIENTOS'!$H$3:$H$500))</f>
        <v/>
      </c>
      <c r="C24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MOVIMIENTOS'!$E$3:$E$500="Coche/Transporte")*('REGISTRO DE MOVIMIENTOS'!$H$3:$H$500))</f>
        <v/>
      </c>
      <c r="E24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MOVIMIENTOS'!$E$3:$E$500="Gasolina")*('REGISTRO DE MOVIMIENTOS'!$H$3:$H$500))</f>
        <v/>
      </c>
      <c r="G24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MOVIMIENTOS'!$E$3:$E$500="Supermercado")*('REGISTRO DE MOVIMIENTOS'!$H$3:$H$500))</f>
        <v/>
      </c>
      <c r="I24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MOVIMIENTOS'!$E$3:$E$500="Restaurante")*('REGISTRO DE MOVIMIENTOS'!$H$3:$H$500))</f>
        <v/>
      </c>
      <c r="K24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MOVIMIENTOS'!$E$3:$E$500="Cafeteria/Bar")*('REGISTRO DE MOVIMIENTOS'!$H$3:$H$500))</f>
        <v/>
      </c>
    </row>
    <row r="25" ht="12" customHeight="1"/>
    <row r="26" ht="18" customHeight="1">
      <c r="A26" s="13" t="inlineStr">
        <is>
          <t>Ocio/Entretenimiento</t>
        </is>
      </c>
      <c r="C26" s="13" t="inlineStr">
        <is>
          <t>Ropa/Calzado</t>
        </is>
      </c>
      <c r="E26" s="13" t="inlineStr">
        <is>
          <t>Farmacia/Salud</t>
        </is>
      </c>
      <c r="G26" s="13" t="inlineStr">
        <is>
          <t>Formacion/Suscripciones</t>
        </is>
      </c>
      <c r="I26" s="13" t="inlineStr">
        <is>
          <t>Ahorro</t>
        </is>
      </c>
      <c r="K26" s="13" t="inlineStr">
        <is>
          <t>Bankroll</t>
        </is>
      </c>
    </row>
    <row r="27" ht="28" customHeight="1">
      <c r="A27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MOVIMIENTOS'!$E$3:$E$500="Ocio/Entretenimiento")*('REGISTRO DE MOVIMIENTOS'!$H$3:$H$500))</f>
        <v/>
      </c>
      <c r="C27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MOVIMIENTOS'!$E$3:$E$500="Ropa/Calzado")*('REGISTRO DE MOVIMIENTOS'!$H$3:$H$500))</f>
        <v/>
      </c>
      <c r="E27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MOVIMIENTOS'!$E$3:$E$500="Farmacia/Salud")*('REGISTRO DE MOVIMIENTOS'!$H$3:$H$500))</f>
        <v/>
      </c>
      <c r="G27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MOVIMIENTOS'!$E$3:$E$500="Formacion/Suscripciones")*('REGISTRO DE MOVIMIENTOS'!$H$3:$H$500))</f>
        <v/>
      </c>
      <c r="I27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MOVIMIENTOS'!$E$3:$E$500="Ahorro")*('REGISTRO DE MOVIMIENTOS'!$H$3:$H$500))</f>
        <v/>
      </c>
      <c r="K27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MOVIMIENTOS'!$E$3:$E$500="Bankroll")*('REGISTRO DE MOVIMIENTOS'!$H$3:$H$500))</f>
        <v/>
      </c>
    </row>
    <row r="28" ht="12" customHeight="1"/>
    <row r="30" ht="20" customHeight="1">
      <c r="A30" s="2" t="inlineStr">
        <is>
          <t>NAVEGACION: Usa las pestanas de abajo para acceder a cada seccion del sistema</t>
        </is>
      </c>
    </row>
  </sheetData>
  <mergeCells count="55">
    <mergeCell ref="K27:L28"/>
    <mergeCell ref="C6:D6"/>
    <mergeCell ref="I6:J6"/>
    <mergeCell ref="G24:H25"/>
    <mergeCell ref="I24:J25"/>
    <mergeCell ref="K9:L9"/>
    <mergeCell ref="E23:F23"/>
    <mergeCell ref="E27:F28"/>
    <mergeCell ref="G23:H23"/>
    <mergeCell ref="A3:L3"/>
    <mergeCell ref="C26:D26"/>
    <mergeCell ref="I26:J26"/>
    <mergeCell ref="A6:B6"/>
    <mergeCell ref="K26:L26"/>
    <mergeCell ref="C27:D28"/>
    <mergeCell ref="A2:L2"/>
    <mergeCell ref="K7:L8"/>
    <mergeCell ref="C7:D8"/>
    <mergeCell ref="E7:F8"/>
    <mergeCell ref="A5:L5"/>
    <mergeCell ref="I10:J11"/>
    <mergeCell ref="A10:B11"/>
    <mergeCell ref="K10:L11"/>
    <mergeCell ref="A22:L22"/>
    <mergeCell ref="G6:H6"/>
    <mergeCell ref="C9:D9"/>
    <mergeCell ref="A27:B28"/>
    <mergeCell ref="E9:F9"/>
    <mergeCell ref="G27:H28"/>
    <mergeCell ref="A26:B26"/>
    <mergeCell ref="E6:F6"/>
    <mergeCell ref="C24:D25"/>
    <mergeCell ref="E24:F25"/>
    <mergeCell ref="K24:L25"/>
    <mergeCell ref="K6:L6"/>
    <mergeCell ref="A13:L13"/>
    <mergeCell ref="I23:J23"/>
    <mergeCell ref="I27:J28"/>
    <mergeCell ref="A23:B23"/>
    <mergeCell ref="K23:L23"/>
    <mergeCell ref="E26:F26"/>
    <mergeCell ref="C23:D23"/>
    <mergeCell ref="G26:H26"/>
    <mergeCell ref="A24:B25"/>
    <mergeCell ref="A30:L30"/>
    <mergeCell ref="G7:H8"/>
    <mergeCell ref="I7:J8"/>
    <mergeCell ref="C10:D11"/>
    <mergeCell ref="A7:B8"/>
    <mergeCell ref="E10:F11"/>
    <mergeCell ref="A1:L1"/>
    <mergeCell ref="G10:H11"/>
    <mergeCell ref="A9:B9"/>
    <mergeCell ref="G9:H9"/>
    <mergeCell ref="I9:J9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J500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0" customWidth="1" min="4" max="4"/>
    <col width="18" customWidth="1" min="5" max="5"/>
    <col width="18" customWidth="1" min="6" max="6"/>
    <col width="35" customWidth="1" min="7" max="7"/>
    <col width="14" customWidth="1" min="8" max="8"/>
    <col width="18" customWidth="1" min="9" max="9"/>
    <col width="30" customWidth="1" min="10" max="10"/>
  </cols>
  <sheetData>
    <row r="1" ht="30" customHeight="1">
      <c r="A1" s="1" t="inlineStr">
        <is>
          <t>REGISTRO DE MOVIMIENTOS - SISTEMA FINANCIERO 2026</t>
        </is>
      </c>
    </row>
    <row r="2" ht="20" customHeight="1">
      <c r="A2" s="7" t="inlineStr">
        <is>
          <t>Fecha</t>
        </is>
      </c>
      <c r="B2" s="7" t="inlineStr">
        <is>
          <t>Mes (auto)</t>
        </is>
      </c>
      <c r="C2" s="7" t="inlineStr">
        <is>
          <t>Anio (auto)</t>
        </is>
      </c>
      <c r="D2" s="7" t="inlineStr">
        <is>
          <t>Tipo (auto)</t>
        </is>
      </c>
      <c r="E2" s="7" t="inlineStr">
        <is>
          <t>Categoria</t>
        </is>
      </c>
      <c r="F2" s="7" t="inlineStr">
        <is>
          <t>Subcategoria</t>
        </is>
      </c>
      <c r="G2" s="7" t="inlineStr">
        <is>
          <t>Descripcion</t>
        </is>
      </c>
      <c r="H2" s="7" t="inlineStr">
        <is>
          <t>Importe</t>
        </is>
      </c>
      <c r="I2" s="7" t="inlineStr">
        <is>
          <t>Metodo de Pago</t>
        </is>
      </c>
      <c r="J2" s="7" t="inlineStr">
        <is>
          <t>Comentarios</t>
        </is>
      </c>
    </row>
    <row r="3">
      <c r="B3" s="23">
        <f>IF(A3="","",TEXT(A3,"MMMM"))</f>
        <v/>
      </c>
      <c r="C3" s="23">
        <f>IF(A3="","",YEAR(A3))</f>
        <v/>
      </c>
      <c r="D3" s="23">
        <f>IF(A3="","",IF(OR(E3="Nomina",E3="Trading/Payout",E3="Otro ingreso"),"Ingreso","Gasto"))</f>
        <v/>
      </c>
    </row>
    <row r="4">
      <c r="B4" s="24">
        <f>IF(A4="","",TEXT(A4,"MMMM"))</f>
        <v/>
      </c>
      <c r="C4" s="24">
        <f>IF(A4="","",YEAR(A4))</f>
        <v/>
      </c>
      <c r="D4" s="24">
        <f>IF(A4="","",IF(OR(E4="Nomina",E4="Trading/Payout",E4="Otro ingreso"),"Ingreso","Gasto"))</f>
        <v/>
      </c>
    </row>
    <row r="5">
      <c r="B5" s="23">
        <f>IF(A5="","",TEXT(A5,"MMMM"))</f>
        <v/>
      </c>
      <c r="C5" s="23">
        <f>IF(A5="","",YEAR(A5))</f>
        <v/>
      </c>
      <c r="D5" s="23">
        <f>IF(A5="","",IF(OR(E5="Nomina",E5="Trading/Payout",E5="Otro ingreso"),"Ingreso","Gasto"))</f>
        <v/>
      </c>
    </row>
    <row r="6">
      <c r="B6" s="24">
        <f>IF(A6="","",TEXT(A6,"MMMM"))</f>
        <v/>
      </c>
      <c r="C6" s="24">
        <f>IF(A6="","",YEAR(A6))</f>
        <v/>
      </c>
      <c r="D6" s="24">
        <f>IF(A6="","",IF(OR(E6="Nomina",E6="Trading/Payout",E6="Otro ingreso"),"Ingreso","Gasto"))</f>
        <v/>
      </c>
    </row>
    <row r="7">
      <c r="B7" s="23">
        <f>IF(A7="","",TEXT(A7,"MMMM"))</f>
        <v/>
      </c>
      <c r="C7" s="23">
        <f>IF(A7="","",YEAR(A7))</f>
        <v/>
      </c>
      <c r="D7" s="23">
        <f>IF(A7="","",IF(OR(E7="Nomina",E7="Trading/Payout",E7="Otro ingreso"),"Ingreso","Gasto"))</f>
        <v/>
      </c>
    </row>
    <row r="8">
      <c r="B8" s="24">
        <f>IF(A8="","",TEXT(A8,"MMMM"))</f>
        <v/>
      </c>
      <c r="C8" s="24">
        <f>IF(A8="","",YEAR(A8))</f>
        <v/>
      </c>
      <c r="D8" s="24">
        <f>IF(A8="","",IF(OR(E8="Nomina",E8="Trading/Payout",E8="Otro ingreso"),"Ingreso","Gasto"))</f>
        <v/>
      </c>
    </row>
    <row r="9">
      <c r="B9" s="23">
        <f>IF(A9="","",TEXT(A9,"MMMM"))</f>
        <v/>
      </c>
      <c r="C9" s="23">
        <f>IF(A9="","",YEAR(A9))</f>
        <v/>
      </c>
      <c r="D9" s="23">
        <f>IF(A9="","",IF(OR(E9="Nomina",E9="Trading/Payout",E9="Otro ingreso"),"Ingreso","Gasto"))</f>
        <v/>
      </c>
    </row>
    <row r="10">
      <c r="B10" s="24">
        <f>IF(A10="","",TEXT(A10,"MMMM"))</f>
        <v/>
      </c>
      <c r="C10" s="24">
        <f>IF(A10="","",YEAR(A10))</f>
        <v/>
      </c>
      <c r="D10" s="24">
        <f>IF(A10="","",IF(OR(E10="Nomina",E10="Trading/Payout",E10="Otro ingreso"),"Ingreso","Gasto"))</f>
        <v/>
      </c>
    </row>
    <row r="11">
      <c r="B11" s="23">
        <f>IF(A11="","",TEXT(A11,"MMMM"))</f>
        <v/>
      </c>
      <c r="C11" s="23">
        <f>IF(A11="","",YEAR(A11))</f>
        <v/>
      </c>
      <c r="D11" s="23">
        <f>IF(A11="","",IF(OR(E11="Nomina",E11="Trading/Payout",E11="Otro ingreso"),"Ingreso","Gasto"))</f>
        <v/>
      </c>
    </row>
    <row r="12">
      <c r="B12" s="24">
        <f>IF(A12="","",TEXT(A12,"MMMM"))</f>
        <v/>
      </c>
      <c r="C12" s="24">
        <f>IF(A12="","",YEAR(A12))</f>
        <v/>
      </c>
      <c r="D12" s="24">
        <f>IF(A12="","",IF(OR(E12="Nomina",E12="Trading/Payout",E12="Otro ingreso"),"Ingreso","Gasto"))</f>
        <v/>
      </c>
    </row>
    <row r="13">
      <c r="B13" s="23">
        <f>IF(A13="","",TEXT(A13,"MMMM"))</f>
        <v/>
      </c>
      <c r="C13" s="23">
        <f>IF(A13="","",YEAR(A13))</f>
        <v/>
      </c>
      <c r="D13" s="23">
        <f>IF(A13="","",IF(OR(E13="Nomina",E13="Trading/Payout",E13="Otro ingreso"),"Ingreso","Gasto"))</f>
        <v/>
      </c>
    </row>
    <row r="14">
      <c r="B14" s="24">
        <f>IF(A14="","",TEXT(A14,"MMMM"))</f>
        <v/>
      </c>
      <c r="C14" s="24">
        <f>IF(A14="","",YEAR(A14))</f>
        <v/>
      </c>
      <c r="D14" s="24">
        <f>IF(A14="","",IF(OR(E14="Nomina",E14="Trading/Payout",E14="Otro ingreso"),"Ingreso","Gasto"))</f>
        <v/>
      </c>
    </row>
    <row r="15">
      <c r="B15" s="23">
        <f>IF(A15="","",TEXT(A15,"MMMM"))</f>
        <v/>
      </c>
      <c r="C15" s="23">
        <f>IF(A15="","",YEAR(A15))</f>
        <v/>
      </c>
      <c r="D15" s="23">
        <f>IF(A15="","",IF(OR(E15="Nomina",E15="Trading/Payout",E15="Otro ingreso"),"Ingreso","Gasto"))</f>
        <v/>
      </c>
    </row>
    <row r="16">
      <c r="B16" s="24">
        <f>IF(A16="","",TEXT(A16,"MMMM"))</f>
        <v/>
      </c>
      <c r="C16" s="24">
        <f>IF(A16="","",YEAR(A16))</f>
        <v/>
      </c>
      <c r="D16" s="24">
        <f>IF(A16="","",IF(OR(E16="Nomina",E16="Trading/Payout",E16="Otro ingreso"),"Ingreso","Gasto"))</f>
        <v/>
      </c>
    </row>
    <row r="17">
      <c r="B17" s="23">
        <f>IF(A17="","",TEXT(A17,"MMMM"))</f>
        <v/>
      </c>
      <c r="C17" s="23">
        <f>IF(A17="","",YEAR(A17))</f>
        <v/>
      </c>
      <c r="D17" s="23">
        <f>IF(A17="","",IF(OR(E17="Nomina",E17="Trading/Payout",E17="Otro ingreso"),"Ingreso","Gasto"))</f>
        <v/>
      </c>
    </row>
    <row r="18">
      <c r="B18" s="24">
        <f>IF(A18="","",TEXT(A18,"MMMM"))</f>
        <v/>
      </c>
      <c r="C18" s="24">
        <f>IF(A18="","",YEAR(A18))</f>
        <v/>
      </c>
      <c r="D18" s="24">
        <f>IF(A18="","",IF(OR(E18="Nomina",E18="Trading/Payout",E18="Otro ingreso"),"Ingreso","Gasto"))</f>
        <v/>
      </c>
    </row>
    <row r="19">
      <c r="B19" s="23">
        <f>IF(A19="","",TEXT(A19,"MMMM"))</f>
        <v/>
      </c>
      <c r="C19" s="23">
        <f>IF(A19="","",YEAR(A19))</f>
        <v/>
      </c>
      <c r="D19" s="23">
        <f>IF(A19="","",IF(OR(E19="Nomina",E19="Trading/Payout",E19="Otro ingreso"),"Ingreso","Gasto"))</f>
        <v/>
      </c>
    </row>
    <row r="20">
      <c r="B20" s="24">
        <f>IF(A20="","",TEXT(A20,"MMMM"))</f>
        <v/>
      </c>
      <c r="C20" s="24">
        <f>IF(A20="","",YEAR(A20))</f>
        <v/>
      </c>
      <c r="D20" s="24">
        <f>IF(A20="","",IF(OR(E20="Nomina",E20="Trading/Payout",E20="Otro ingreso"),"Ingreso","Gasto"))</f>
        <v/>
      </c>
    </row>
    <row r="21">
      <c r="B21" s="23">
        <f>IF(A21="","",TEXT(A21,"MMMM"))</f>
        <v/>
      </c>
      <c r="C21" s="23">
        <f>IF(A21="","",YEAR(A21))</f>
        <v/>
      </c>
      <c r="D21" s="23">
        <f>IF(A21="","",IF(OR(E21="Nomina",E21="Trading/Payout",E21="Otro ingreso"),"Ingreso","Gasto"))</f>
        <v/>
      </c>
    </row>
    <row r="22">
      <c r="B22" s="24">
        <f>IF(A22="","",TEXT(A22,"MMMM"))</f>
        <v/>
      </c>
      <c r="C22" s="24">
        <f>IF(A22="","",YEAR(A22))</f>
        <v/>
      </c>
      <c r="D22" s="24">
        <f>IF(A22="","",IF(OR(E22="Nomina",E22="Trading/Payout",E22="Otro ingreso"),"Ingreso","Gasto"))</f>
        <v/>
      </c>
    </row>
    <row r="23">
      <c r="B23" s="23">
        <f>IF(A23="","",TEXT(A23,"MMMM"))</f>
        <v/>
      </c>
      <c r="C23" s="23">
        <f>IF(A23="","",YEAR(A23))</f>
        <v/>
      </c>
      <c r="D23" s="23">
        <f>IF(A23="","",IF(OR(E23="Nomina",E23="Trading/Payout",E23="Otro ingreso"),"Ingreso","Gasto"))</f>
        <v/>
      </c>
    </row>
    <row r="24">
      <c r="B24" s="24">
        <f>IF(A24="","",TEXT(A24,"MMMM"))</f>
        <v/>
      </c>
      <c r="C24" s="24">
        <f>IF(A24="","",YEAR(A24))</f>
        <v/>
      </c>
      <c r="D24" s="24">
        <f>IF(A24="","",IF(OR(E24="Nomina",E24="Trading/Payout",E24="Otro ingreso"),"Ingreso","Gasto"))</f>
        <v/>
      </c>
    </row>
    <row r="25">
      <c r="B25" s="23">
        <f>IF(A25="","",TEXT(A25,"MMMM"))</f>
        <v/>
      </c>
      <c r="C25" s="23">
        <f>IF(A25="","",YEAR(A25))</f>
        <v/>
      </c>
      <c r="D25" s="23">
        <f>IF(A25="","",IF(OR(E25="Nomina",E25="Trading/Payout",E25="Otro ingreso"),"Ingreso","Gasto"))</f>
        <v/>
      </c>
    </row>
    <row r="26">
      <c r="B26" s="24">
        <f>IF(A26="","",TEXT(A26,"MMMM"))</f>
        <v/>
      </c>
      <c r="C26" s="24">
        <f>IF(A26="","",YEAR(A26))</f>
        <v/>
      </c>
      <c r="D26" s="24">
        <f>IF(A26="","",IF(OR(E26="Nomina",E26="Trading/Payout",E26="Otro ingreso"),"Ingreso","Gasto"))</f>
        <v/>
      </c>
    </row>
    <row r="27">
      <c r="B27" s="23">
        <f>IF(A27="","",TEXT(A27,"MMMM"))</f>
        <v/>
      </c>
      <c r="C27" s="23">
        <f>IF(A27="","",YEAR(A27))</f>
        <v/>
      </c>
      <c r="D27" s="23">
        <f>IF(A27="","",IF(OR(E27="Nomina",E27="Trading/Payout",E27="Otro ingreso"),"Ingreso","Gasto"))</f>
        <v/>
      </c>
    </row>
    <row r="28">
      <c r="B28" s="24">
        <f>IF(A28="","",TEXT(A28,"MMMM"))</f>
        <v/>
      </c>
      <c r="C28" s="24">
        <f>IF(A28="","",YEAR(A28))</f>
        <v/>
      </c>
      <c r="D28" s="24">
        <f>IF(A28="","",IF(OR(E28="Nomina",E28="Trading/Payout",E28="Otro ingreso"),"Ingreso","Gasto"))</f>
        <v/>
      </c>
    </row>
    <row r="29">
      <c r="B29" s="23">
        <f>IF(A29="","",TEXT(A29,"MMMM"))</f>
        <v/>
      </c>
      <c r="C29" s="23">
        <f>IF(A29="","",YEAR(A29))</f>
        <v/>
      </c>
      <c r="D29" s="23">
        <f>IF(A29="","",IF(OR(E29="Nomina",E29="Trading/Payout",E29="Otro ingreso"),"Ingreso","Gasto"))</f>
        <v/>
      </c>
    </row>
    <row r="30">
      <c r="B30" s="24">
        <f>IF(A30="","",TEXT(A30,"MMMM"))</f>
        <v/>
      </c>
      <c r="C30" s="24">
        <f>IF(A30="","",YEAR(A30))</f>
        <v/>
      </c>
      <c r="D30" s="24">
        <f>IF(A30="","",IF(OR(E30="Nomina",E30="Trading/Payout",E30="Otro ingreso"),"Ingreso","Gasto"))</f>
        <v/>
      </c>
    </row>
    <row r="31">
      <c r="B31" s="23">
        <f>IF(A31="","",TEXT(A31,"MMMM"))</f>
        <v/>
      </c>
      <c r="C31" s="23">
        <f>IF(A31="","",YEAR(A31))</f>
        <v/>
      </c>
      <c r="D31" s="23">
        <f>IF(A31="","",IF(OR(E31="Nomina",E31="Trading/Payout",E31="Otro ingreso"),"Ingreso","Gasto"))</f>
        <v/>
      </c>
    </row>
    <row r="32">
      <c r="B32" s="24">
        <f>IF(A32="","",TEXT(A32,"MMMM"))</f>
        <v/>
      </c>
      <c r="C32" s="24">
        <f>IF(A32="","",YEAR(A32))</f>
        <v/>
      </c>
      <c r="D32" s="24">
        <f>IF(A32="","",IF(OR(E32="Nomina",E32="Trading/Payout",E32="Otro ingreso"),"Ingreso","Gasto"))</f>
        <v/>
      </c>
    </row>
    <row r="33">
      <c r="B33" s="23">
        <f>IF(A33="","",TEXT(A33,"MMMM"))</f>
        <v/>
      </c>
      <c r="C33" s="23">
        <f>IF(A33="","",YEAR(A33))</f>
        <v/>
      </c>
      <c r="D33" s="23">
        <f>IF(A33="","",IF(OR(E33="Nomina",E33="Trading/Payout",E33="Otro ingreso"),"Ingreso","Gasto"))</f>
        <v/>
      </c>
    </row>
    <row r="34">
      <c r="B34" s="24">
        <f>IF(A34="","",TEXT(A34,"MMMM"))</f>
        <v/>
      </c>
      <c r="C34" s="24">
        <f>IF(A34="","",YEAR(A34))</f>
        <v/>
      </c>
      <c r="D34" s="24">
        <f>IF(A34="","",IF(OR(E34="Nomina",E34="Trading/Payout",E34="Otro ingreso"),"Ingreso","Gasto"))</f>
        <v/>
      </c>
    </row>
    <row r="35">
      <c r="B35" s="23">
        <f>IF(A35="","",TEXT(A35,"MMMM"))</f>
        <v/>
      </c>
      <c r="C35" s="23">
        <f>IF(A35="","",YEAR(A35))</f>
        <v/>
      </c>
      <c r="D35" s="23">
        <f>IF(A35="","",IF(OR(E35="Nomina",E35="Trading/Payout",E35="Otro ingreso"),"Ingreso","Gasto"))</f>
        <v/>
      </c>
    </row>
    <row r="36">
      <c r="B36" s="24">
        <f>IF(A36="","",TEXT(A36,"MMMM"))</f>
        <v/>
      </c>
      <c r="C36" s="24">
        <f>IF(A36="","",YEAR(A36))</f>
        <v/>
      </c>
      <c r="D36" s="24">
        <f>IF(A36="","",IF(OR(E36="Nomina",E36="Trading/Payout",E36="Otro ingreso"),"Ingreso","Gasto"))</f>
        <v/>
      </c>
    </row>
    <row r="37">
      <c r="B37" s="23">
        <f>IF(A37="","",TEXT(A37,"MMMM"))</f>
        <v/>
      </c>
      <c r="C37" s="23">
        <f>IF(A37="","",YEAR(A37))</f>
        <v/>
      </c>
      <c r="D37" s="23">
        <f>IF(A37="","",IF(OR(E37="Nomina",E37="Trading/Payout",E37="Otro ingreso"),"Ingreso","Gasto"))</f>
        <v/>
      </c>
    </row>
    <row r="38">
      <c r="B38" s="24">
        <f>IF(A38="","",TEXT(A38,"MMMM"))</f>
        <v/>
      </c>
      <c r="C38" s="24">
        <f>IF(A38="","",YEAR(A38))</f>
        <v/>
      </c>
      <c r="D38" s="24">
        <f>IF(A38="","",IF(OR(E38="Nomina",E38="Trading/Payout",E38="Otro ingreso"),"Ingreso","Gasto"))</f>
        <v/>
      </c>
    </row>
    <row r="39">
      <c r="B39" s="23">
        <f>IF(A39="","",TEXT(A39,"MMMM"))</f>
        <v/>
      </c>
      <c r="C39" s="23">
        <f>IF(A39="","",YEAR(A39))</f>
        <v/>
      </c>
      <c r="D39" s="23">
        <f>IF(A39="","",IF(OR(E39="Nomina",E39="Trading/Payout",E39="Otro ingreso"),"Ingreso","Gasto"))</f>
        <v/>
      </c>
    </row>
    <row r="40">
      <c r="B40" s="24">
        <f>IF(A40="","",TEXT(A40,"MMMM"))</f>
        <v/>
      </c>
      <c r="C40" s="24">
        <f>IF(A40="","",YEAR(A40))</f>
        <v/>
      </c>
      <c r="D40" s="24">
        <f>IF(A40="","",IF(OR(E40="Nomina",E40="Trading/Payout",E40="Otro ingreso"),"Ingreso","Gasto"))</f>
        <v/>
      </c>
    </row>
    <row r="41">
      <c r="B41" s="23">
        <f>IF(A41="","",TEXT(A41,"MMMM"))</f>
        <v/>
      </c>
      <c r="C41" s="23">
        <f>IF(A41="","",YEAR(A41))</f>
        <v/>
      </c>
      <c r="D41" s="23">
        <f>IF(A41="","",IF(OR(E41="Nomina",E41="Trading/Payout",E41="Otro ingreso"),"Ingreso","Gasto"))</f>
        <v/>
      </c>
    </row>
    <row r="42">
      <c r="B42" s="24">
        <f>IF(A42="","",TEXT(A42,"MMMM"))</f>
        <v/>
      </c>
      <c r="C42" s="24">
        <f>IF(A42="","",YEAR(A42))</f>
        <v/>
      </c>
      <c r="D42" s="24">
        <f>IF(A42="","",IF(OR(E42="Nomina",E42="Trading/Payout",E42="Otro ingreso"),"Ingreso","Gasto"))</f>
        <v/>
      </c>
    </row>
    <row r="43">
      <c r="B43" s="23">
        <f>IF(A43="","",TEXT(A43,"MMMM"))</f>
        <v/>
      </c>
      <c r="C43" s="23">
        <f>IF(A43="","",YEAR(A43))</f>
        <v/>
      </c>
      <c r="D43" s="23">
        <f>IF(A43="","",IF(OR(E43="Nomina",E43="Trading/Payout",E43="Otro ingreso"),"Ingreso","Gasto"))</f>
        <v/>
      </c>
    </row>
    <row r="44">
      <c r="B44" s="24">
        <f>IF(A44="","",TEXT(A44,"MMMM"))</f>
        <v/>
      </c>
      <c r="C44" s="24">
        <f>IF(A44="","",YEAR(A44))</f>
        <v/>
      </c>
      <c r="D44" s="24">
        <f>IF(A44="","",IF(OR(E44="Nomina",E44="Trading/Payout",E44="Otro ingreso"),"Ingreso","Gasto"))</f>
        <v/>
      </c>
    </row>
    <row r="45">
      <c r="B45" s="23">
        <f>IF(A45="","",TEXT(A45,"MMMM"))</f>
        <v/>
      </c>
      <c r="C45" s="23">
        <f>IF(A45="","",YEAR(A45))</f>
        <v/>
      </c>
      <c r="D45" s="23">
        <f>IF(A45="","",IF(OR(E45="Nomina",E45="Trading/Payout",E45="Otro ingreso"),"Ingreso","Gasto"))</f>
        <v/>
      </c>
    </row>
    <row r="46">
      <c r="B46" s="24">
        <f>IF(A46="","",TEXT(A46,"MMMM"))</f>
        <v/>
      </c>
      <c r="C46" s="24">
        <f>IF(A46="","",YEAR(A46))</f>
        <v/>
      </c>
      <c r="D46" s="24">
        <f>IF(A46="","",IF(OR(E46="Nomina",E46="Trading/Payout",E46="Otro ingreso"),"Ingreso","Gasto"))</f>
        <v/>
      </c>
    </row>
    <row r="47">
      <c r="B47" s="23">
        <f>IF(A47="","",TEXT(A47,"MMMM"))</f>
        <v/>
      </c>
      <c r="C47" s="23">
        <f>IF(A47="","",YEAR(A47))</f>
        <v/>
      </c>
      <c r="D47" s="23">
        <f>IF(A47="","",IF(OR(E47="Nomina",E47="Trading/Payout",E47="Otro ingreso"),"Ingreso","Gasto"))</f>
        <v/>
      </c>
    </row>
    <row r="48">
      <c r="B48" s="24">
        <f>IF(A48="","",TEXT(A48,"MMMM"))</f>
        <v/>
      </c>
      <c r="C48" s="24">
        <f>IF(A48="","",YEAR(A48))</f>
        <v/>
      </c>
      <c r="D48" s="24">
        <f>IF(A48="","",IF(OR(E48="Nomina",E48="Trading/Payout",E48="Otro ingreso"),"Ingreso","Gasto"))</f>
        <v/>
      </c>
    </row>
    <row r="49">
      <c r="B49" s="23">
        <f>IF(A49="","",TEXT(A49,"MMMM"))</f>
        <v/>
      </c>
      <c r="C49" s="23">
        <f>IF(A49="","",YEAR(A49))</f>
        <v/>
      </c>
      <c r="D49" s="23">
        <f>IF(A49="","",IF(OR(E49="Nomina",E49="Trading/Payout",E49="Otro ingreso"),"Ingreso","Gasto"))</f>
        <v/>
      </c>
    </row>
    <row r="50">
      <c r="B50" s="24">
        <f>IF(A50="","",TEXT(A50,"MMMM"))</f>
        <v/>
      </c>
      <c r="C50" s="24">
        <f>IF(A50="","",YEAR(A50))</f>
        <v/>
      </c>
      <c r="D50" s="24">
        <f>IF(A50="","",IF(OR(E50="Nomina",E50="Trading/Payout",E50="Otro ingreso"),"Ingreso","Gasto"))</f>
        <v/>
      </c>
    </row>
    <row r="51">
      <c r="B51" s="23">
        <f>IF(A51="","",TEXT(A51,"MMMM"))</f>
        <v/>
      </c>
      <c r="C51" s="23">
        <f>IF(A51="","",YEAR(A51))</f>
        <v/>
      </c>
      <c r="D51" s="23">
        <f>IF(A51="","",IF(OR(E51="Nomina",E51="Trading/Payout",E51="Otro ingreso"),"Ingreso","Gasto"))</f>
        <v/>
      </c>
    </row>
    <row r="52">
      <c r="B52" s="24">
        <f>IF(A52="","",TEXT(A52,"MMMM"))</f>
        <v/>
      </c>
      <c r="C52" s="24">
        <f>IF(A52="","",YEAR(A52))</f>
        <v/>
      </c>
      <c r="D52" s="24">
        <f>IF(A52="","",IF(OR(E52="Nomina",E52="Trading/Payout",E52="Otro ingreso"),"Ingreso","Gasto"))</f>
        <v/>
      </c>
    </row>
    <row r="53">
      <c r="B53" s="23">
        <f>IF(A53="","",TEXT(A53,"MMMM"))</f>
        <v/>
      </c>
      <c r="C53" s="23">
        <f>IF(A53="","",YEAR(A53))</f>
        <v/>
      </c>
      <c r="D53" s="23">
        <f>IF(A53="","",IF(OR(E53="Nomina",E53="Trading/Payout",E53="Otro ingreso"),"Ingreso","Gasto"))</f>
        <v/>
      </c>
    </row>
    <row r="54">
      <c r="B54" s="24">
        <f>IF(A54="","",TEXT(A54,"MMMM"))</f>
        <v/>
      </c>
      <c r="C54" s="24">
        <f>IF(A54="","",YEAR(A54))</f>
        <v/>
      </c>
      <c r="D54" s="24">
        <f>IF(A54="","",IF(OR(E54="Nomina",E54="Trading/Payout",E54="Otro ingreso"),"Ingreso","Gasto"))</f>
        <v/>
      </c>
    </row>
    <row r="55">
      <c r="B55" s="23">
        <f>IF(A55="","",TEXT(A55,"MMMM"))</f>
        <v/>
      </c>
      <c r="C55" s="23">
        <f>IF(A55="","",YEAR(A55))</f>
        <v/>
      </c>
      <c r="D55" s="23">
        <f>IF(A55="","",IF(OR(E55="Nomina",E55="Trading/Payout",E55="Otro ingreso"),"Ingreso","Gasto"))</f>
        <v/>
      </c>
    </row>
    <row r="56">
      <c r="B56" s="24">
        <f>IF(A56="","",TEXT(A56,"MMMM"))</f>
        <v/>
      </c>
      <c r="C56" s="24">
        <f>IF(A56="","",YEAR(A56))</f>
        <v/>
      </c>
      <c r="D56" s="24">
        <f>IF(A56="","",IF(OR(E56="Nomina",E56="Trading/Payout",E56="Otro ingreso"),"Ingreso","Gasto"))</f>
        <v/>
      </c>
    </row>
    <row r="57">
      <c r="B57" s="23">
        <f>IF(A57="","",TEXT(A57,"MMMM"))</f>
        <v/>
      </c>
      <c r="C57" s="23">
        <f>IF(A57="","",YEAR(A57))</f>
        <v/>
      </c>
      <c r="D57" s="23">
        <f>IF(A57="","",IF(OR(E57="Nomina",E57="Trading/Payout",E57="Otro ingreso"),"Ingreso","Gasto"))</f>
        <v/>
      </c>
    </row>
    <row r="58">
      <c r="B58" s="24">
        <f>IF(A58="","",TEXT(A58,"MMMM"))</f>
        <v/>
      </c>
      <c r="C58" s="24">
        <f>IF(A58="","",YEAR(A58))</f>
        <v/>
      </c>
      <c r="D58" s="24">
        <f>IF(A58="","",IF(OR(E58="Nomina",E58="Trading/Payout",E58="Otro ingreso"),"Ingreso","Gasto"))</f>
        <v/>
      </c>
    </row>
    <row r="59">
      <c r="B59" s="23">
        <f>IF(A59="","",TEXT(A59,"MMMM"))</f>
        <v/>
      </c>
      <c r="C59" s="23">
        <f>IF(A59="","",YEAR(A59))</f>
        <v/>
      </c>
      <c r="D59" s="23">
        <f>IF(A59="","",IF(OR(E59="Nomina",E59="Trading/Payout",E59="Otro ingreso"),"Ingreso","Gasto"))</f>
        <v/>
      </c>
    </row>
    <row r="60">
      <c r="B60" s="24">
        <f>IF(A60="","",TEXT(A60,"MMMM"))</f>
        <v/>
      </c>
      <c r="C60" s="24">
        <f>IF(A60="","",YEAR(A60))</f>
        <v/>
      </c>
      <c r="D60" s="24">
        <f>IF(A60="","",IF(OR(E60="Nomina",E60="Trading/Payout",E60="Otro ingreso"),"Ingreso","Gasto"))</f>
        <v/>
      </c>
    </row>
    <row r="61">
      <c r="B61" s="23">
        <f>IF(A61="","",TEXT(A61,"MMMM"))</f>
        <v/>
      </c>
      <c r="C61" s="23">
        <f>IF(A61="","",YEAR(A61))</f>
        <v/>
      </c>
      <c r="D61" s="23">
        <f>IF(A61="","",IF(OR(E61="Nomina",E61="Trading/Payout",E61="Otro ingreso"),"Ingreso","Gasto"))</f>
        <v/>
      </c>
    </row>
    <row r="62">
      <c r="B62" s="24">
        <f>IF(A62="","",TEXT(A62,"MMMM"))</f>
        <v/>
      </c>
      <c r="C62" s="24">
        <f>IF(A62="","",YEAR(A62))</f>
        <v/>
      </c>
      <c r="D62" s="24">
        <f>IF(A62="","",IF(OR(E62="Nomina",E62="Trading/Payout",E62="Otro ingreso"),"Ingreso","Gasto"))</f>
        <v/>
      </c>
    </row>
    <row r="63">
      <c r="B63" s="23">
        <f>IF(A63="","",TEXT(A63,"MMMM"))</f>
        <v/>
      </c>
      <c r="C63" s="23">
        <f>IF(A63="","",YEAR(A63))</f>
        <v/>
      </c>
      <c r="D63" s="23">
        <f>IF(A63="","",IF(OR(E63="Nomina",E63="Trading/Payout",E63="Otro ingreso"),"Ingreso","Gasto"))</f>
        <v/>
      </c>
    </row>
    <row r="64">
      <c r="B64" s="24">
        <f>IF(A64="","",TEXT(A64,"MMMM"))</f>
        <v/>
      </c>
      <c r="C64" s="24">
        <f>IF(A64="","",YEAR(A64))</f>
        <v/>
      </c>
      <c r="D64" s="24">
        <f>IF(A64="","",IF(OR(E64="Nomina",E64="Trading/Payout",E64="Otro ingreso"),"Ingreso","Gasto"))</f>
        <v/>
      </c>
    </row>
    <row r="65">
      <c r="B65" s="23">
        <f>IF(A65="","",TEXT(A65,"MMMM"))</f>
        <v/>
      </c>
      <c r="C65" s="23">
        <f>IF(A65="","",YEAR(A65))</f>
        <v/>
      </c>
      <c r="D65" s="23">
        <f>IF(A65="","",IF(OR(E65="Nomina",E65="Trading/Payout",E65="Otro ingreso"),"Ingreso","Gasto"))</f>
        <v/>
      </c>
    </row>
    <row r="66">
      <c r="B66" s="24">
        <f>IF(A66="","",TEXT(A66,"MMMM"))</f>
        <v/>
      </c>
      <c r="C66" s="24">
        <f>IF(A66="","",YEAR(A66))</f>
        <v/>
      </c>
      <c r="D66" s="24">
        <f>IF(A66="","",IF(OR(E66="Nomina",E66="Trading/Payout",E66="Otro ingreso"),"Ingreso","Gasto"))</f>
        <v/>
      </c>
    </row>
    <row r="67">
      <c r="B67" s="23">
        <f>IF(A67="","",TEXT(A67,"MMMM"))</f>
        <v/>
      </c>
      <c r="C67" s="23">
        <f>IF(A67="","",YEAR(A67))</f>
        <v/>
      </c>
      <c r="D67" s="23">
        <f>IF(A67="","",IF(OR(E67="Nomina",E67="Trading/Payout",E67="Otro ingreso"),"Ingreso","Gasto"))</f>
        <v/>
      </c>
    </row>
    <row r="68">
      <c r="B68" s="24">
        <f>IF(A68="","",TEXT(A68,"MMMM"))</f>
        <v/>
      </c>
      <c r="C68" s="24">
        <f>IF(A68="","",YEAR(A68))</f>
        <v/>
      </c>
      <c r="D68" s="24">
        <f>IF(A68="","",IF(OR(E68="Nomina",E68="Trading/Payout",E68="Otro ingreso"),"Ingreso","Gasto"))</f>
        <v/>
      </c>
    </row>
    <row r="69">
      <c r="B69" s="23">
        <f>IF(A69="","",TEXT(A69,"MMMM"))</f>
        <v/>
      </c>
      <c r="C69" s="23">
        <f>IF(A69="","",YEAR(A69))</f>
        <v/>
      </c>
      <c r="D69" s="23">
        <f>IF(A69="","",IF(OR(E69="Nomina",E69="Trading/Payout",E69="Otro ingreso"),"Ingreso","Gasto"))</f>
        <v/>
      </c>
    </row>
    <row r="70">
      <c r="B70" s="24">
        <f>IF(A70="","",TEXT(A70,"MMMM"))</f>
        <v/>
      </c>
      <c r="C70" s="24">
        <f>IF(A70="","",YEAR(A70))</f>
        <v/>
      </c>
      <c r="D70" s="24">
        <f>IF(A70="","",IF(OR(E70="Nomina",E70="Trading/Payout",E70="Otro ingreso"),"Ingreso","Gasto"))</f>
        <v/>
      </c>
    </row>
    <row r="71">
      <c r="B71" s="23">
        <f>IF(A71="","",TEXT(A71,"MMMM"))</f>
        <v/>
      </c>
      <c r="C71" s="23">
        <f>IF(A71="","",YEAR(A71))</f>
        <v/>
      </c>
      <c r="D71" s="23">
        <f>IF(A71="","",IF(OR(E71="Nomina",E71="Trading/Payout",E71="Otro ingreso"),"Ingreso","Gasto"))</f>
        <v/>
      </c>
    </row>
    <row r="72">
      <c r="B72" s="24">
        <f>IF(A72="","",TEXT(A72,"MMMM"))</f>
        <v/>
      </c>
      <c r="C72" s="24">
        <f>IF(A72="","",YEAR(A72))</f>
        <v/>
      </c>
      <c r="D72" s="24">
        <f>IF(A72="","",IF(OR(E72="Nomina",E72="Trading/Payout",E72="Otro ingreso"),"Ingreso","Gasto"))</f>
        <v/>
      </c>
    </row>
    <row r="73">
      <c r="B73" s="23">
        <f>IF(A73="","",TEXT(A73,"MMMM"))</f>
        <v/>
      </c>
      <c r="C73" s="23">
        <f>IF(A73="","",YEAR(A73))</f>
        <v/>
      </c>
      <c r="D73" s="23">
        <f>IF(A73="","",IF(OR(E73="Nomina",E73="Trading/Payout",E73="Otro ingreso"),"Ingreso","Gasto"))</f>
        <v/>
      </c>
    </row>
    <row r="74">
      <c r="B74" s="24">
        <f>IF(A74="","",TEXT(A74,"MMMM"))</f>
        <v/>
      </c>
      <c r="C74" s="24">
        <f>IF(A74="","",YEAR(A74))</f>
        <v/>
      </c>
      <c r="D74" s="24">
        <f>IF(A74="","",IF(OR(E74="Nomina",E74="Trading/Payout",E74="Otro ingreso"),"Ingreso","Gasto"))</f>
        <v/>
      </c>
    </row>
    <row r="75">
      <c r="B75" s="23">
        <f>IF(A75="","",TEXT(A75,"MMMM"))</f>
        <v/>
      </c>
      <c r="C75" s="23">
        <f>IF(A75="","",YEAR(A75))</f>
        <v/>
      </c>
      <c r="D75" s="23">
        <f>IF(A75="","",IF(OR(E75="Nomina",E75="Trading/Payout",E75="Otro ingreso"),"Ingreso","Gasto"))</f>
        <v/>
      </c>
    </row>
    <row r="76">
      <c r="B76" s="24">
        <f>IF(A76="","",TEXT(A76,"MMMM"))</f>
        <v/>
      </c>
      <c r="C76" s="24">
        <f>IF(A76="","",YEAR(A76))</f>
        <v/>
      </c>
      <c r="D76" s="24">
        <f>IF(A76="","",IF(OR(E76="Nomina",E76="Trading/Payout",E76="Otro ingreso"),"Ingreso","Gasto"))</f>
        <v/>
      </c>
    </row>
    <row r="77">
      <c r="B77" s="23">
        <f>IF(A77="","",TEXT(A77,"MMMM"))</f>
        <v/>
      </c>
      <c r="C77" s="23">
        <f>IF(A77="","",YEAR(A77))</f>
        <v/>
      </c>
      <c r="D77" s="23">
        <f>IF(A77="","",IF(OR(E77="Nomina",E77="Trading/Payout",E77="Otro ingreso"),"Ingreso","Gasto"))</f>
        <v/>
      </c>
    </row>
    <row r="78">
      <c r="B78" s="24">
        <f>IF(A78="","",TEXT(A78,"MMMM"))</f>
        <v/>
      </c>
      <c r="C78" s="24">
        <f>IF(A78="","",YEAR(A78))</f>
        <v/>
      </c>
      <c r="D78" s="24">
        <f>IF(A78="","",IF(OR(E78="Nomina",E78="Trading/Payout",E78="Otro ingreso"),"Ingreso","Gasto"))</f>
        <v/>
      </c>
    </row>
    <row r="79">
      <c r="B79" s="23">
        <f>IF(A79="","",TEXT(A79,"MMMM"))</f>
        <v/>
      </c>
      <c r="C79" s="23">
        <f>IF(A79="","",YEAR(A79))</f>
        <v/>
      </c>
      <c r="D79" s="23">
        <f>IF(A79="","",IF(OR(E79="Nomina",E79="Trading/Payout",E79="Otro ingreso"),"Ingreso","Gasto"))</f>
        <v/>
      </c>
    </row>
    <row r="80">
      <c r="B80" s="24">
        <f>IF(A80="","",TEXT(A80,"MMMM"))</f>
        <v/>
      </c>
      <c r="C80" s="24">
        <f>IF(A80="","",YEAR(A80))</f>
        <v/>
      </c>
      <c r="D80" s="24">
        <f>IF(A80="","",IF(OR(E80="Nomina",E80="Trading/Payout",E80="Otro ingreso"),"Ingreso","Gasto"))</f>
        <v/>
      </c>
    </row>
    <row r="81">
      <c r="B81" s="23">
        <f>IF(A81="","",TEXT(A81,"MMMM"))</f>
        <v/>
      </c>
      <c r="C81" s="23">
        <f>IF(A81="","",YEAR(A81))</f>
        <v/>
      </c>
      <c r="D81" s="23">
        <f>IF(A81="","",IF(OR(E81="Nomina",E81="Trading/Payout",E81="Otro ingreso"),"Ingreso","Gasto"))</f>
        <v/>
      </c>
    </row>
    <row r="82">
      <c r="B82" s="24">
        <f>IF(A82="","",TEXT(A82,"MMMM"))</f>
        <v/>
      </c>
      <c r="C82" s="24">
        <f>IF(A82="","",YEAR(A82))</f>
        <v/>
      </c>
      <c r="D82" s="24">
        <f>IF(A82="","",IF(OR(E82="Nomina",E82="Trading/Payout",E82="Otro ingreso"),"Ingreso","Gasto"))</f>
        <v/>
      </c>
    </row>
    <row r="83">
      <c r="B83" s="23">
        <f>IF(A83="","",TEXT(A83,"MMMM"))</f>
        <v/>
      </c>
      <c r="C83" s="23">
        <f>IF(A83="","",YEAR(A83))</f>
        <v/>
      </c>
      <c r="D83" s="23">
        <f>IF(A83="","",IF(OR(E83="Nomina",E83="Trading/Payout",E83="Otro ingreso"),"Ingreso","Gasto"))</f>
        <v/>
      </c>
    </row>
    <row r="84">
      <c r="B84" s="24">
        <f>IF(A84="","",TEXT(A84,"MMMM"))</f>
        <v/>
      </c>
      <c r="C84" s="24">
        <f>IF(A84="","",YEAR(A84))</f>
        <v/>
      </c>
      <c r="D84" s="24">
        <f>IF(A84="","",IF(OR(E84="Nomina",E84="Trading/Payout",E84="Otro ingreso"),"Ingreso","Gasto"))</f>
        <v/>
      </c>
    </row>
    <row r="85">
      <c r="B85" s="23">
        <f>IF(A85="","",TEXT(A85,"MMMM"))</f>
        <v/>
      </c>
      <c r="C85" s="23">
        <f>IF(A85="","",YEAR(A85))</f>
        <v/>
      </c>
      <c r="D85" s="23">
        <f>IF(A85="","",IF(OR(E85="Nomina",E85="Trading/Payout",E85="Otro ingreso"),"Ingreso","Gasto"))</f>
        <v/>
      </c>
    </row>
    <row r="86">
      <c r="B86" s="24">
        <f>IF(A86="","",TEXT(A86,"MMMM"))</f>
        <v/>
      </c>
      <c r="C86" s="24">
        <f>IF(A86="","",YEAR(A86))</f>
        <v/>
      </c>
      <c r="D86" s="24">
        <f>IF(A86="","",IF(OR(E86="Nomina",E86="Trading/Payout",E86="Otro ingreso"),"Ingreso","Gasto"))</f>
        <v/>
      </c>
    </row>
    <row r="87">
      <c r="B87" s="23">
        <f>IF(A87="","",TEXT(A87,"MMMM"))</f>
        <v/>
      </c>
      <c r="C87" s="23">
        <f>IF(A87="","",YEAR(A87))</f>
        <v/>
      </c>
      <c r="D87" s="23">
        <f>IF(A87="","",IF(OR(E87="Nomina",E87="Trading/Payout",E87="Otro ingreso"),"Ingreso","Gasto"))</f>
        <v/>
      </c>
    </row>
    <row r="88">
      <c r="B88" s="24">
        <f>IF(A88="","",TEXT(A88,"MMMM"))</f>
        <v/>
      </c>
      <c r="C88" s="24">
        <f>IF(A88="","",YEAR(A88))</f>
        <v/>
      </c>
      <c r="D88" s="24">
        <f>IF(A88="","",IF(OR(E88="Nomina",E88="Trading/Payout",E88="Otro ingreso"),"Ingreso","Gasto"))</f>
        <v/>
      </c>
    </row>
    <row r="89">
      <c r="B89" s="23">
        <f>IF(A89="","",TEXT(A89,"MMMM"))</f>
        <v/>
      </c>
      <c r="C89" s="23">
        <f>IF(A89="","",YEAR(A89))</f>
        <v/>
      </c>
      <c r="D89" s="23">
        <f>IF(A89="","",IF(OR(E89="Nomina",E89="Trading/Payout",E89="Otro ingreso"),"Ingreso","Gasto"))</f>
        <v/>
      </c>
    </row>
    <row r="90">
      <c r="B90" s="24">
        <f>IF(A90="","",TEXT(A90,"MMMM"))</f>
        <v/>
      </c>
      <c r="C90" s="24">
        <f>IF(A90="","",YEAR(A90))</f>
        <v/>
      </c>
      <c r="D90" s="24">
        <f>IF(A90="","",IF(OR(E90="Nomina",E90="Trading/Payout",E90="Otro ingreso"),"Ingreso","Gasto"))</f>
        <v/>
      </c>
    </row>
    <row r="91">
      <c r="B91" s="23">
        <f>IF(A91="","",TEXT(A91,"MMMM"))</f>
        <v/>
      </c>
      <c r="C91" s="23">
        <f>IF(A91="","",YEAR(A91))</f>
        <v/>
      </c>
      <c r="D91" s="23">
        <f>IF(A91="","",IF(OR(E91="Nomina",E91="Trading/Payout",E91="Otro ingreso"),"Ingreso","Gasto"))</f>
        <v/>
      </c>
    </row>
    <row r="92">
      <c r="B92" s="24">
        <f>IF(A92="","",TEXT(A92,"MMMM"))</f>
        <v/>
      </c>
      <c r="C92" s="24">
        <f>IF(A92="","",YEAR(A92))</f>
        <v/>
      </c>
      <c r="D92" s="24">
        <f>IF(A92="","",IF(OR(E92="Nomina",E92="Trading/Payout",E92="Otro ingreso"),"Ingreso","Gasto"))</f>
        <v/>
      </c>
    </row>
    <row r="93">
      <c r="B93" s="23">
        <f>IF(A93="","",TEXT(A93,"MMMM"))</f>
        <v/>
      </c>
      <c r="C93" s="23">
        <f>IF(A93="","",YEAR(A93))</f>
        <v/>
      </c>
      <c r="D93" s="23">
        <f>IF(A93="","",IF(OR(E93="Nomina",E93="Trading/Payout",E93="Otro ingreso"),"Ingreso","Gasto"))</f>
        <v/>
      </c>
    </row>
    <row r="94">
      <c r="B94" s="24">
        <f>IF(A94="","",TEXT(A94,"MMMM"))</f>
        <v/>
      </c>
      <c r="C94" s="24">
        <f>IF(A94="","",YEAR(A94))</f>
        <v/>
      </c>
      <c r="D94" s="24">
        <f>IF(A94="","",IF(OR(E94="Nomina",E94="Trading/Payout",E94="Otro ingreso"),"Ingreso","Gasto"))</f>
        <v/>
      </c>
    </row>
    <row r="95">
      <c r="B95" s="23">
        <f>IF(A95="","",TEXT(A95,"MMMM"))</f>
        <v/>
      </c>
      <c r="C95" s="23">
        <f>IF(A95="","",YEAR(A95))</f>
        <v/>
      </c>
      <c r="D95" s="23">
        <f>IF(A95="","",IF(OR(E95="Nomina",E95="Trading/Payout",E95="Otro ingreso"),"Ingreso","Gasto"))</f>
        <v/>
      </c>
    </row>
    <row r="96">
      <c r="B96" s="24">
        <f>IF(A96="","",TEXT(A96,"MMMM"))</f>
        <v/>
      </c>
      <c r="C96" s="24">
        <f>IF(A96="","",YEAR(A96))</f>
        <v/>
      </c>
      <c r="D96" s="24">
        <f>IF(A96="","",IF(OR(E96="Nomina",E96="Trading/Payout",E96="Otro ingreso"),"Ingreso","Gasto"))</f>
        <v/>
      </c>
    </row>
    <row r="97">
      <c r="B97" s="23">
        <f>IF(A97="","",TEXT(A97,"MMMM"))</f>
        <v/>
      </c>
      <c r="C97" s="23">
        <f>IF(A97="","",YEAR(A97))</f>
        <v/>
      </c>
      <c r="D97" s="23">
        <f>IF(A97="","",IF(OR(E97="Nomina",E97="Trading/Payout",E97="Otro ingreso"),"Ingreso","Gasto"))</f>
        <v/>
      </c>
    </row>
    <row r="98">
      <c r="B98" s="24">
        <f>IF(A98="","",TEXT(A98,"MMMM"))</f>
        <v/>
      </c>
      <c r="C98" s="24">
        <f>IF(A98="","",YEAR(A98))</f>
        <v/>
      </c>
      <c r="D98" s="24">
        <f>IF(A98="","",IF(OR(E98="Nomina",E98="Trading/Payout",E98="Otro ingreso"),"Ingreso","Gasto"))</f>
        <v/>
      </c>
    </row>
    <row r="99">
      <c r="B99" s="23">
        <f>IF(A99="","",TEXT(A99,"MMMM"))</f>
        <v/>
      </c>
      <c r="C99" s="23">
        <f>IF(A99="","",YEAR(A99))</f>
        <v/>
      </c>
      <c r="D99" s="23">
        <f>IF(A99="","",IF(OR(E99="Nomina",E99="Trading/Payout",E99="Otro ingreso"),"Ingreso","Gasto"))</f>
        <v/>
      </c>
    </row>
    <row r="100">
      <c r="B100" s="24">
        <f>IF(A100="","",TEXT(A100,"MMMM"))</f>
        <v/>
      </c>
      <c r="C100" s="24">
        <f>IF(A100="","",YEAR(A100))</f>
        <v/>
      </c>
      <c r="D100" s="24">
        <f>IF(A100="","",IF(OR(E100="Nomina",E100="Trading/Payout",E100="Otro ingreso"),"Ingreso","Gasto"))</f>
        <v/>
      </c>
    </row>
    <row r="101">
      <c r="B101" s="23">
        <f>IF(A101="","",TEXT(A101,"MMMM"))</f>
        <v/>
      </c>
      <c r="C101" s="23">
        <f>IF(A101="","",YEAR(A101))</f>
        <v/>
      </c>
      <c r="D101" s="23">
        <f>IF(A101="","",IF(OR(E101="Nomina",E101="Trading/Payout",E101="Otro ingreso"),"Ingreso","Gasto"))</f>
        <v/>
      </c>
    </row>
    <row r="102">
      <c r="B102" s="24">
        <f>IF(A102="","",TEXT(A102,"MMMM"))</f>
        <v/>
      </c>
      <c r="C102" s="24">
        <f>IF(A102="","",YEAR(A102))</f>
        <v/>
      </c>
      <c r="D102" s="24">
        <f>IF(A102="","",IF(OR(E102="Nomina",E102="Trading/Payout",E102="Otro ingreso"),"Ingreso","Gasto"))</f>
        <v/>
      </c>
    </row>
    <row r="103">
      <c r="B103" s="23">
        <f>IF(A103="","",TEXT(A103,"MMMM"))</f>
        <v/>
      </c>
      <c r="C103" s="23">
        <f>IF(A103="","",YEAR(A103))</f>
        <v/>
      </c>
      <c r="D103" s="23">
        <f>IF(A103="","",IF(OR(E103="Nomina",E103="Trading/Payout",E103="Otro ingreso"),"Ingreso","Gasto"))</f>
        <v/>
      </c>
    </row>
    <row r="104">
      <c r="B104" s="24">
        <f>IF(A104="","",TEXT(A104,"MMMM"))</f>
        <v/>
      </c>
      <c r="C104" s="24">
        <f>IF(A104="","",YEAR(A104))</f>
        <v/>
      </c>
      <c r="D104" s="24">
        <f>IF(A104="","",IF(OR(E104="Nomina",E104="Trading/Payout",E104="Otro ingreso"),"Ingreso","Gasto"))</f>
        <v/>
      </c>
    </row>
    <row r="105">
      <c r="B105" s="23">
        <f>IF(A105="","",TEXT(A105,"MMMM"))</f>
        <v/>
      </c>
      <c r="C105" s="23">
        <f>IF(A105="","",YEAR(A105))</f>
        <v/>
      </c>
      <c r="D105" s="23">
        <f>IF(A105="","",IF(OR(E105="Nomina",E105="Trading/Payout",E105="Otro ingreso"),"Ingreso","Gasto"))</f>
        <v/>
      </c>
    </row>
    <row r="106">
      <c r="B106" s="24">
        <f>IF(A106="","",TEXT(A106,"MMMM"))</f>
        <v/>
      </c>
      <c r="C106" s="24">
        <f>IF(A106="","",YEAR(A106))</f>
        <v/>
      </c>
      <c r="D106" s="24">
        <f>IF(A106="","",IF(OR(E106="Nomina",E106="Trading/Payout",E106="Otro ingreso"),"Ingreso","Gasto"))</f>
        <v/>
      </c>
    </row>
    <row r="107">
      <c r="B107" s="23">
        <f>IF(A107="","",TEXT(A107,"MMMM"))</f>
        <v/>
      </c>
      <c r="C107" s="23">
        <f>IF(A107="","",YEAR(A107))</f>
        <v/>
      </c>
      <c r="D107" s="23">
        <f>IF(A107="","",IF(OR(E107="Nomina",E107="Trading/Payout",E107="Otro ingreso"),"Ingreso","Gasto"))</f>
        <v/>
      </c>
    </row>
    <row r="108">
      <c r="B108" s="24">
        <f>IF(A108="","",TEXT(A108,"MMMM"))</f>
        <v/>
      </c>
      <c r="C108" s="24">
        <f>IF(A108="","",YEAR(A108))</f>
        <v/>
      </c>
      <c r="D108" s="24">
        <f>IF(A108="","",IF(OR(E108="Nomina",E108="Trading/Payout",E108="Otro ingreso"),"Ingreso","Gasto"))</f>
        <v/>
      </c>
    </row>
    <row r="109">
      <c r="B109" s="23">
        <f>IF(A109="","",TEXT(A109,"MMMM"))</f>
        <v/>
      </c>
      <c r="C109" s="23">
        <f>IF(A109="","",YEAR(A109))</f>
        <v/>
      </c>
      <c r="D109" s="23">
        <f>IF(A109="","",IF(OR(E109="Nomina",E109="Trading/Payout",E109="Otro ingreso"),"Ingreso","Gasto"))</f>
        <v/>
      </c>
    </row>
    <row r="110">
      <c r="B110" s="24">
        <f>IF(A110="","",TEXT(A110,"MMMM"))</f>
        <v/>
      </c>
      <c r="C110" s="24">
        <f>IF(A110="","",YEAR(A110))</f>
        <v/>
      </c>
      <c r="D110" s="24">
        <f>IF(A110="","",IF(OR(E110="Nomina",E110="Trading/Payout",E110="Otro ingreso"),"Ingreso","Gasto"))</f>
        <v/>
      </c>
    </row>
    <row r="111">
      <c r="B111" s="23">
        <f>IF(A111="","",TEXT(A111,"MMMM"))</f>
        <v/>
      </c>
      <c r="C111" s="23">
        <f>IF(A111="","",YEAR(A111))</f>
        <v/>
      </c>
      <c r="D111" s="23">
        <f>IF(A111="","",IF(OR(E111="Nomina",E111="Trading/Payout",E111="Otro ingreso"),"Ingreso","Gasto"))</f>
        <v/>
      </c>
    </row>
    <row r="112">
      <c r="B112" s="24">
        <f>IF(A112="","",TEXT(A112,"MMMM"))</f>
        <v/>
      </c>
      <c r="C112" s="24">
        <f>IF(A112="","",YEAR(A112))</f>
        <v/>
      </c>
      <c r="D112" s="24">
        <f>IF(A112="","",IF(OR(E112="Nomina",E112="Trading/Payout",E112="Otro ingreso"),"Ingreso","Gasto"))</f>
        <v/>
      </c>
    </row>
    <row r="113">
      <c r="B113" s="23">
        <f>IF(A113="","",TEXT(A113,"MMMM"))</f>
        <v/>
      </c>
      <c r="C113" s="23">
        <f>IF(A113="","",YEAR(A113))</f>
        <v/>
      </c>
      <c r="D113" s="23">
        <f>IF(A113="","",IF(OR(E113="Nomina",E113="Trading/Payout",E113="Otro ingreso"),"Ingreso","Gasto"))</f>
        <v/>
      </c>
    </row>
    <row r="114">
      <c r="B114" s="24">
        <f>IF(A114="","",TEXT(A114,"MMMM"))</f>
        <v/>
      </c>
      <c r="C114" s="24">
        <f>IF(A114="","",YEAR(A114))</f>
        <v/>
      </c>
      <c r="D114" s="24">
        <f>IF(A114="","",IF(OR(E114="Nomina",E114="Trading/Payout",E114="Otro ingreso"),"Ingreso","Gasto"))</f>
        <v/>
      </c>
    </row>
    <row r="115">
      <c r="B115" s="23">
        <f>IF(A115="","",TEXT(A115,"MMMM"))</f>
        <v/>
      </c>
      <c r="C115" s="23">
        <f>IF(A115="","",YEAR(A115))</f>
        <v/>
      </c>
      <c r="D115" s="23">
        <f>IF(A115="","",IF(OR(E115="Nomina",E115="Trading/Payout",E115="Otro ingreso"),"Ingreso","Gasto"))</f>
        <v/>
      </c>
    </row>
    <row r="116">
      <c r="B116" s="24">
        <f>IF(A116="","",TEXT(A116,"MMMM"))</f>
        <v/>
      </c>
      <c r="C116" s="24">
        <f>IF(A116="","",YEAR(A116))</f>
        <v/>
      </c>
      <c r="D116" s="24">
        <f>IF(A116="","",IF(OR(E116="Nomina",E116="Trading/Payout",E116="Otro ingreso"),"Ingreso","Gasto"))</f>
        <v/>
      </c>
    </row>
    <row r="117">
      <c r="B117" s="23">
        <f>IF(A117="","",TEXT(A117,"MMMM"))</f>
        <v/>
      </c>
      <c r="C117" s="23">
        <f>IF(A117="","",YEAR(A117))</f>
        <v/>
      </c>
      <c r="D117" s="23">
        <f>IF(A117="","",IF(OR(E117="Nomina",E117="Trading/Payout",E117="Otro ingreso"),"Ingreso","Gasto"))</f>
        <v/>
      </c>
    </row>
    <row r="118">
      <c r="B118" s="24">
        <f>IF(A118="","",TEXT(A118,"MMMM"))</f>
        <v/>
      </c>
      <c r="C118" s="24">
        <f>IF(A118="","",YEAR(A118))</f>
        <v/>
      </c>
      <c r="D118" s="24">
        <f>IF(A118="","",IF(OR(E118="Nomina",E118="Trading/Payout",E118="Otro ingreso"),"Ingreso","Gasto"))</f>
        <v/>
      </c>
    </row>
    <row r="119">
      <c r="B119" s="23">
        <f>IF(A119="","",TEXT(A119,"MMMM"))</f>
        <v/>
      </c>
      <c r="C119" s="23">
        <f>IF(A119="","",YEAR(A119))</f>
        <v/>
      </c>
      <c r="D119" s="23">
        <f>IF(A119="","",IF(OR(E119="Nomina",E119="Trading/Payout",E119="Otro ingreso"),"Ingreso","Gasto"))</f>
        <v/>
      </c>
    </row>
    <row r="120">
      <c r="B120" s="24">
        <f>IF(A120="","",TEXT(A120,"MMMM"))</f>
        <v/>
      </c>
      <c r="C120" s="24">
        <f>IF(A120="","",YEAR(A120))</f>
        <v/>
      </c>
      <c r="D120" s="24">
        <f>IF(A120="","",IF(OR(E120="Nomina",E120="Trading/Payout",E120="Otro ingreso"),"Ingreso","Gasto"))</f>
        <v/>
      </c>
    </row>
    <row r="121">
      <c r="B121" s="23">
        <f>IF(A121="","",TEXT(A121,"MMMM"))</f>
        <v/>
      </c>
      <c r="C121" s="23">
        <f>IF(A121="","",YEAR(A121))</f>
        <v/>
      </c>
      <c r="D121" s="23">
        <f>IF(A121="","",IF(OR(E121="Nomina",E121="Trading/Payout",E121="Otro ingreso"),"Ingreso","Gasto"))</f>
        <v/>
      </c>
    </row>
    <row r="122">
      <c r="B122" s="24">
        <f>IF(A122="","",TEXT(A122,"MMMM"))</f>
        <v/>
      </c>
      <c r="C122" s="24">
        <f>IF(A122="","",YEAR(A122))</f>
        <v/>
      </c>
      <c r="D122" s="24">
        <f>IF(A122="","",IF(OR(E122="Nomina",E122="Trading/Payout",E122="Otro ingreso"),"Ingreso","Gasto"))</f>
        <v/>
      </c>
    </row>
    <row r="123">
      <c r="B123" s="23">
        <f>IF(A123="","",TEXT(A123,"MMMM"))</f>
        <v/>
      </c>
      <c r="C123" s="23">
        <f>IF(A123="","",YEAR(A123))</f>
        <v/>
      </c>
      <c r="D123" s="23">
        <f>IF(A123="","",IF(OR(E123="Nomina",E123="Trading/Payout",E123="Otro ingreso"),"Ingreso","Gasto"))</f>
        <v/>
      </c>
    </row>
    <row r="124">
      <c r="B124" s="24">
        <f>IF(A124="","",TEXT(A124,"MMMM"))</f>
        <v/>
      </c>
      <c r="C124" s="24">
        <f>IF(A124="","",YEAR(A124))</f>
        <v/>
      </c>
      <c r="D124" s="24">
        <f>IF(A124="","",IF(OR(E124="Nomina",E124="Trading/Payout",E124="Otro ingreso"),"Ingreso","Gasto"))</f>
        <v/>
      </c>
    </row>
    <row r="125">
      <c r="B125" s="23">
        <f>IF(A125="","",TEXT(A125,"MMMM"))</f>
        <v/>
      </c>
      <c r="C125" s="23">
        <f>IF(A125="","",YEAR(A125))</f>
        <v/>
      </c>
      <c r="D125" s="23">
        <f>IF(A125="","",IF(OR(E125="Nomina",E125="Trading/Payout",E125="Otro ingreso"),"Ingreso","Gasto"))</f>
        <v/>
      </c>
    </row>
    <row r="126">
      <c r="B126" s="24">
        <f>IF(A126="","",TEXT(A126,"MMMM"))</f>
        <v/>
      </c>
      <c r="C126" s="24">
        <f>IF(A126="","",YEAR(A126))</f>
        <v/>
      </c>
      <c r="D126" s="24">
        <f>IF(A126="","",IF(OR(E126="Nomina",E126="Trading/Payout",E126="Otro ingreso"),"Ingreso","Gasto"))</f>
        <v/>
      </c>
    </row>
    <row r="127">
      <c r="B127" s="23">
        <f>IF(A127="","",TEXT(A127,"MMMM"))</f>
        <v/>
      </c>
      <c r="C127" s="23">
        <f>IF(A127="","",YEAR(A127))</f>
        <v/>
      </c>
      <c r="D127" s="23">
        <f>IF(A127="","",IF(OR(E127="Nomina",E127="Trading/Payout",E127="Otro ingreso"),"Ingreso","Gasto"))</f>
        <v/>
      </c>
    </row>
    <row r="128">
      <c r="B128" s="24">
        <f>IF(A128="","",TEXT(A128,"MMMM"))</f>
        <v/>
      </c>
      <c r="C128" s="24">
        <f>IF(A128="","",YEAR(A128))</f>
        <v/>
      </c>
      <c r="D128" s="24">
        <f>IF(A128="","",IF(OR(E128="Nomina",E128="Trading/Payout",E128="Otro ingreso"),"Ingreso","Gasto"))</f>
        <v/>
      </c>
    </row>
    <row r="129">
      <c r="B129" s="23">
        <f>IF(A129="","",TEXT(A129,"MMMM"))</f>
        <v/>
      </c>
      <c r="C129" s="23">
        <f>IF(A129="","",YEAR(A129))</f>
        <v/>
      </c>
      <c r="D129" s="23">
        <f>IF(A129="","",IF(OR(E129="Nomina",E129="Trading/Payout",E129="Otro ingreso"),"Ingreso","Gasto"))</f>
        <v/>
      </c>
    </row>
    <row r="130">
      <c r="B130" s="24">
        <f>IF(A130="","",TEXT(A130,"MMMM"))</f>
        <v/>
      </c>
      <c r="C130" s="24">
        <f>IF(A130="","",YEAR(A130))</f>
        <v/>
      </c>
      <c r="D130" s="24">
        <f>IF(A130="","",IF(OR(E130="Nomina",E130="Trading/Payout",E130="Otro ingreso"),"Ingreso","Gasto"))</f>
        <v/>
      </c>
    </row>
    <row r="131">
      <c r="B131" s="23">
        <f>IF(A131="","",TEXT(A131,"MMMM"))</f>
        <v/>
      </c>
      <c r="C131" s="23">
        <f>IF(A131="","",YEAR(A131))</f>
        <v/>
      </c>
      <c r="D131" s="23">
        <f>IF(A131="","",IF(OR(E131="Nomina",E131="Trading/Payout",E131="Otro ingreso"),"Ingreso","Gasto"))</f>
        <v/>
      </c>
    </row>
    <row r="132">
      <c r="B132" s="24">
        <f>IF(A132="","",TEXT(A132,"MMMM"))</f>
        <v/>
      </c>
      <c r="C132" s="24">
        <f>IF(A132="","",YEAR(A132))</f>
        <v/>
      </c>
      <c r="D132" s="24">
        <f>IF(A132="","",IF(OR(E132="Nomina",E132="Trading/Payout",E132="Otro ingreso"),"Ingreso","Gasto"))</f>
        <v/>
      </c>
    </row>
    <row r="133">
      <c r="B133" s="23">
        <f>IF(A133="","",TEXT(A133,"MMMM"))</f>
        <v/>
      </c>
      <c r="C133" s="23">
        <f>IF(A133="","",YEAR(A133))</f>
        <v/>
      </c>
      <c r="D133" s="23">
        <f>IF(A133="","",IF(OR(E133="Nomina",E133="Trading/Payout",E133="Otro ingreso"),"Ingreso","Gasto"))</f>
        <v/>
      </c>
    </row>
    <row r="134">
      <c r="B134" s="24">
        <f>IF(A134="","",TEXT(A134,"MMMM"))</f>
        <v/>
      </c>
      <c r="C134" s="24">
        <f>IF(A134="","",YEAR(A134))</f>
        <v/>
      </c>
      <c r="D134" s="24">
        <f>IF(A134="","",IF(OR(E134="Nomina",E134="Trading/Payout",E134="Otro ingreso"),"Ingreso","Gasto"))</f>
        <v/>
      </c>
    </row>
    <row r="135">
      <c r="B135" s="23">
        <f>IF(A135="","",TEXT(A135,"MMMM"))</f>
        <v/>
      </c>
      <c r="C135" s="23">
        <f>IF(A135="","",YEAR(A135))</f>
        <v/>
      </c>
      <c r="D135" s="23">
        <f>IF(A135="","",IF(OR(E135="Nomina",E135="Trading/Payout",E135="Otro ingreso"),"Ingreso","Gasto"))</f>
        <v/>
      </c>
    </row>
    <row r="136">
      <c r="B136" s="24">
        <f>IF(A136="","",TEXT(A136,"MMMM"))</f>
        <v/>
      </c>
      <c r="C136" s="24">
        <f>IF(A136="","",YEAR(A136))</f>
        <v/>
      </c>
      <c r="D136" s="24">
        <f>IF(A136="","",IF(OR(E136="Nomina",E136="Trading/Payout",E136="Otro ingreso"),"Ingreso","Gasto"))</f>
        <v/>
      </c>
    </row>
    <row r="137">
      <c r="B137" s="23">
        <f>IF(A137="","",TEXT(A137,"MMMM"))</f>
        <v/>
      </c>
      <c r="C137" s="23">
        <f>IF(A137="","",YEAR(A137))</f>
        <v/>
      </c>
      <c r="D137" s="23">
        <f>IF(A137="","",IF(OR(E137="Nomina",E137="Trading/Payout",E137="Otro ingreso"),"Ingreso","Gasto"))</f>
        <v/>
      </c>
    </row>
    <row r="138">
      <c r="B138" s="24">
        <f>IF(A138="","",TEXT(A138,"MMMM"))</f>
        <v/>
      </c>
      <c r="C138" s="24">
        <f>IF(A138="","",YEAR(A138))</f>
        <v/>
      </c>
      <c r="D138" s="24">
        <f>IF(A138="","",IF(OR(E138="Nomina",E138="Trading/Payout",E138="Otro ingreso"),"Ingreso","Gasto"))</f>
        <v/>
      </c>
    </row>
    <row r="139">
      <c r="B139" s="23">
        <f>IF(A139="","",TEXT(A139,"MMMM"))</f>
        <v/>
      </c>
      <c r="C139" s="23">
        <f>IF(A139="","",YEAR(A139))</f>
        <v/>
      </c>
      <c r="D139" s="23">
        <f>IF(A139="","",IF(OR(E139="Nomina",E139="Trading/Payout",E139="Otro ingreso"),"Ingreso","Gasto"))</f>
        <v/>
      </c>
    </row>
    <row r="140">
      <c r="B140" s="24">
        <f>IF(A140="","",TEXT(A140,"MMMM"))</f>
        <v/>
      </c>
      <c r="C140" s="24">
        <f>IF(A140="","",YEAR(A140))</f>
        <v/>
      </c>
      <c r="D140" s="24">
        <f>IF(A140="","",IF(OR(E140="Nomina",E140="Trading/Payout",E140="Otro ingreso"),"Ingreso","Gasto"))</f>
        <v/>
      </c>
    </row>
    <row r="141">
      <c r="B141" s="23">
        <f>IF(A141="","",TEXT(A141,"MMMM"))</f>
        <v/>
      </c>
      <c r="C141" s="23">
        <f>IF(A141="","",YEAR(A141))</f>
        <v/>
      </c>
      <c r="D141" s="23">
        <f>IF(A141="","",IF(OR(E141="Nomina",E141="Trading/Payout",E141="Otro ingreso"),"Ingreso","Gasto"))</f>
        <v/>
      </c>
    </row>
    <row r="142">
      <c r="B142" s="24">
        <f>IF(A142="","",TEXT(A142,"MMMM"))</f>
        <v/>
      </c>
      <c r="C142" s="24">
        <f>IF(A142="","",YEAR(A142))</f>
        <v/>
      </c>
      <c r="D142" s="24">
        <f>IF(A142="","",IF(OR(E142="Nomina",E142="Trading/Payout",E142="Otro ingreso"),"Ingreso","Gasto"))</f>
        <v/>
      </c>
    </row>
    <row r="143">
      <c r="B143" s="23">
        <f>IF(A143="","",TEXT(A143,"MMMM"))</f>
        <v/>
      </c>
      <c r="C143" s="23">
        <f>IF(A143="","",YEAR(A143))</f>
        <v/>
      </c>
      <c r="D143" s="23">
        <f>IF(A143="","",IF(OR(E143="Nomina",E143="Trading/Payout",E143="Otro ingreso"),"Ingreso","Gasto"))</f>
        <v/>
      </c>
    </row>
    <row r="144">
      <c r="B144" s="24">
        <f>IF(A144="","",TEXT(A144,"MMMM"))</f>
        <v/>
      </c>
      <c r="C144" s="24">
        <f>IF(A144="","",YEAR(A144))</f>
        <v/>
      </c>
      <c r="D144" s="24">
        <f>IF(A144="","",IF(OR(E144="Nomina",E144="Trading/Payout",E144="Otro ingreso"),"Ingreso","Gasto"))</f>
        <v/>
      </c>
    </row>
    <row r="145">
      <c r="B145" s="23">
        <f>IF(A145="","",TEXT(A145,"MMMM"))</f>
        <v/>
      </c>
      <c r="C145" s="23">
        <f>IF(A145="","",YEAR(A145))</f>
        <v/>
      </c>
      <c r="D145" s="23">
        <f>IF(A145="","",IF(OR(E145="Nomina",E145="Trading/Payout",E145="Otro ingreso"),"Ingreso","Gasto"))</f>
        <v/>
      </c>
    </row>
    <row r="146">
      <c r="B146" s="24">
        <f>IF(A146="","",TEXT(A146,"MMMM"))</f>
        <v/>
      </c>
      <c r="C146" s="24">
        <f>IF(A146="","",YEAR(A146))</f>
        <v/>
      </c>
      <c r="D146" s="24">
        <f>IF(A146="","",IF(OR(E146="Nomina",E146="Trading/Payout",E146="Otro ingreso"),"Ingreso","Gasto"))</f>
        <v/>
      </c>
    </row>
    <row r="147">
      <c r="B147" s="23">
        <f>IF(A147="","",TEXT(A147,"MMMM"))</f>
        <v/>
      </c>
      <c r="C147" s="23">
        <f>IF(A147="","",YEAR(A147))</f>
        <v/>
      </c>
      <c r="D147" s="23">
        <f>IF(A147="","",IF(OR(E147="Nomina",E147="Trading/Payout",E147="Otro ingreso"),"Ingreso","Gasto"))</f>
        <v/>
      </c>
    </row>
    <row r="148">
      <c r="B148" s="24">
        <f>IF(A148="","",TEXT(A148,"MMMM"))</f>
        <v/>
      </c>
      <c r="C148" s="24">
        <f>IF(A148="","",YEAR(A148))</f>
        <v/>
      </c>
      <c r="D148" s="24">
        <f>IF(A148="","",IF(OR(E148="Nomina",E148="Trading/Payout",E148="Otro ingreso"),"Ingreso","Gasto"))</f>
        <v/>
      </c>
    </row>
    <row r="149">
      <c r="B149" s="23">
        <f>IF(A149="","",TEXT(A149,"MMMM"))</f>
        <v/>
      </c>
      <c r="C149" s="23">
        <f>IF(A149="","",YEAR(A149))</f>
        <v/>
      </c>
      <c r="D149" s="23">
        <f>IF(A149="","",IF(OR(E149="Nomina",E149="Trading/Payout",E149="Otro ingreso"),"Ingreso","Gasto"))</f>
        <v/>
      </c>
    </row>
    <row r="150">
      <c r="B150" s="24">
        <f>IF(A150="","",TEXT(A150,"MMMM"))</f>
        <v/>
      </c>
      <c r="C150" s="24">
        <f>IF(A150="","",YEAR(A150))</f>
        <v/>
      </c>
      <c r="D150" s="24">
        <f>IF(A150="","",IF(OR(E150="Nomina",E150="Trading/Payout",E150="Otro ingreso"),"Ingreso","Gasto"))</f>
        <v/>
      </c>
    </row>
    <row r="151">
      <c r="B151" s="23">
        <f>IF(A151="","",TEXT(A151,"MMMM"))</f>
        <v/>
      </c>
      <c r="C151" s="23">
        <f>IF(A151="","",YEAR(A151))</f>
        <v/>
      </c>
      <c r="D151" s="23">
        <f>IF(A151="","",IF(OR(E151="Nomina",E151="Trading/Payout",E151="Otro ingreso"),"Ingreso","Gasto"))</f>
        <v/>
      </c>
    </row>
    <row r="152">
      <c r="B152" s="24">
        <f>IF(A152="","",TEXT(A152,"MMMM"))</f>
        <v/>
      </c>
      <c r="C152" s="24">
        <f>IF(A152="","",YEAR(A152))</f>
        <v/>
      </c>
      <c r="D152" s="24">
        <f>IF(A152="","",IF(OR(E152="Nomina",E152="Trading/Payout",E152="Otro ingreso"),"Ingreso","Gasto"))</f>
        <v/>
      </c>
    </row>
    <row r="153">
      <c r="B153" s="23">
        <f>IF(A153="","",TEXT(A153,"MMMM"))</f>
        <v/>
      </c>
      <c r="C153" s="23">
        <f>IF(A153="","",YEAR(A153))</f>
        <v/>
      </c>
      <c r="D153" s="23">
        <f>IF(A153="","",IF(OR(E153="Nomina",E153="Trading/Payout",E153="Otro ingreso"),"Ingreso","Gasto"))</f>
        <v/>
      </c>
    </row>
    <row r="154">
      <c r="B154" s="24">
        <f>IF(A154="","",TEXT(A154,"MMMM"))</f>
        <v/>
      </c>
      <c r="C154" s="24">
        <f>IF(A154="","",YEAR(A154))</f>
        <v/>
      </c>
      <c r="D154" s="24">
        <f>IF(A154="","",IF(OR(E154="Nomina",E154="Trading/Payout",E154="Otro ingreso"),"Ingreso","Gasto"))</f>
        <v/>
      </c>
    </row>
    <row r="155">
      <c r="B155" s="23">
        <f>IF(A155="","",TEXT(A155,"MMMM"))</f>
        <v/>
      </c>
      <c r="C155" s="23">
        <f>IF(A155="","",YEAR(A155))</f>
        <v/>
      </c>
      <c r="D155" s="23">
        <f>IF(A155="","",IF(OR(E155="Nomina",E155="Trading/Payout",E155="Otro ingreso"),"Ingreso","Gasto"))</f>
        <v/>
      </c>
    </row>
    <row r="156">
      <c r="B156" s="24">
        <f>IF(A156="","",TEXT(A156,"MMMM"))</f>
        <v/>
      </c>
      <c r="C156" s="24">
        <f>IF(A156="","",YEAR(A156))</f>
        <v/>
      </c>
      <c r="D156" s="24">
        <f>IF(A156="","",IF(OR(E156="Nomina",E156="Trading/Payout",E156="Otro ingreso"),"Ingreso","Gasto"))</f>
        <v/>
      </c>
    </row>
    <row r="157">
      <c r="B157" s="23">
        <f>IF(A157="","",TEXT(A157,"MMMM"))</f>
        <v/>
      </c>
      <c r="C157" s="23">
        <f>IF(A157="","",YEAR(A157))</f>
        <v/>
      </c>
      <c r="D157" s="23">
        <f>IF(A157="","",IF(OR(E157="Nomina",E157="Trading/Payout",E157="Otro ingreso"),"Ingreso","Gasto"))</f>
        <v/>
      </c>
    </row>
    <row r="158">
      <c r="B158" s="24">
        <f>IF(A158="","",TEXT(A158,"MMMM"))</f>
        <v/>
      </c>
      <c r="C158" s="24">
        <f>IF(A158="","",YEAR(A158))</f>
        <v/>
      </c>
      <c r="D158" s="24">
        <f>IF(A158="","",IF(OR(E158="Nomina",E158="Trading/Payout",E158="Otro ingreso"),"Ingreso","Gasto"))</f>
        <v/>
      </c>
    </row>
    <row r="159">
      <c r="B159" s="23">
        <f>IF(A159="","",TEXT(A159,"MMMM"))</f>
        <v/>
      </c>
      <c r="C159" s="23">
        <f>IF(A159="","",YEAR(A159))</f>
        <v/>
      </c>
      <c r="D159" s="23">
        <f>IF(A159="","",IF(OR(E159="Nomina",E159="Trading/Payout",E159="Otro ingreso"),"Ingreso","Gasto"))</f>
        <v/>
      </c>
    </row>
    <row r="160">
      <c r="B160" s="24">
        <f>IF(A160="","",TEXT(A160,"MMMM"))</f>
        <v/>
      </c>
      <c r="C160" s="24">
        <f>IF(A160="","",YEAR(A160))</f>
        <v/>
      </c>
      <c r="D160" s="24">
        <f>IF(A160="","",IF(OR(E160="Nomina",E160="Trading/Payout",E160="Otro ingreso"),"Ingreso","Gasto"))</f>
        <v/>
      </c>
    </row>
    <row r="161">
      <c r="B161" s="23">
        <f>IF(A161="","",TEXT(A161,"MMMM"))</f>
        <v/>
      </c>
      <c r="C161" s="23">
        <f>IF(A161="","",YEAR(A161))</f>
        <v/>
      </c>
      <c r="D161" s="23">
        <f>IF(A161="","",IF(OR(E161="Nomina",E161="Trading/Payout",E161="Otro ingreso"),"Ingreso","Gasto"))</f>
        <v/>
      </c>
    </row>
    <row r="162">
      <c r="B162" s="24">
        <f>IF(A162="","",TEXT(A162,"MMMM"))</f>
        <v/>
      </c>
      <c r="C162" s="24">
        <f>IF(A162="","",YEAR(A162))</f>
        <v/>
      </c>
      <c r="D162" s="24">
        <f>IF(A162="","",IF(OR(E162="Nomina",E162="Trading/Payout",E162="Otro ingreso"),"Ingreso","Gasto"))</f>
        <v/>
      </c>
    </row>
    <row r="163">
      <c r="B163" s="23">
        <f>IF(A163="","",TEXT(A163,"MMMM"))</f>
        <v/>
      </c>
      <c r="C163" s="23">
        <f>IF(A163="","",YEAR(A163))</f>
        <v/>
      </c>
      <c r="D163" s="23">
        <f>IF(A163="","",IF(OR(E163="Nomina",E163="Trading/Payout",E163="Otro ingreso"),"Ingreso","Gasto"))</f>
        <v/>
      </c>
    </row>
    <row r="164">
      <c r="B164" s="24">
        <f>IF(A164="","",TEXT(A164,"MMMM"))</f>
        <v/>
      </c>
      <c r="C164" s="24">
        <f>IF(A164="","",YEAR(A164))</f>
        <v/>
      </c>
      <c r="D164" s="24">
        <f>IF(A164="","",IF(OR(E164="Nomina",E164="Trading/Payout",E164="Otro ingreso"),"Ingreso","Gasto"))</f>
        <v/>
      </c>
    </row>
    <row r="165">
      <c r="B165" s="23">
        <f>IF(A165="","",TEXT(A165,"MMMM"))</f>
        <v/>
      </c>
      <c r="C165" s="23">
        <f>IF(A165="","",YEAR(A165))</f>
        <v/>
      </c>
      <c r="D165" s="23">
        <f>IF(A165="","",IF(OR(E165="Nomina",E165="Trading/Payout",E165="Otro ingreso"),"Ingreso","Gasto"))</f>
        <v/>
      </c>
    </row>
    <row r="166">
      <c r="B166" s="24">
        <f>IF(A166="","",TEXT(A166,"MMMM"))</f>
        <v/>
      </c>
      <c r="C166" s="24">
        <f>IF(A166="","",YEAR(A166))</f>
        <v/>
      </c>
      <c r="D166" s="24">
        <f>IF(A166="","",IF(OR(E166="Nomina",E166="Trading/Payout",E166="Otro ingreso"),"Ingreso","Gasto"))</f>
        <v/>
      </c>
    </row>
    <row r="167">
      <c r="B167" s="23">
        <f>IF(A167="","",TEXT(A167,"MMMM"))</f>
        <v/>
      </c>
      <c r="C167" s="23">
        <f>IF(A167="","",YEAR(A167))</f>
        <v/>
      </c>
      <c r="D167" s="23">
        <f>IF(A167="","",IF(OR(E167="Nomina",E167="Trading/Payout",E167="Otro ingreso"),"Ingreso","Gasto"))</f>
        <v/>
      </c>
    </row>
    <row r="168">
      <c r="B168" s="24">
        <f>IF(A168="","",TEXT(A168,"MMMM"))</f>
        <v/>
      </c>
      <c r="C168" s="24">
        <f>IF(A168="","",YEAR(A168))</f>
        <v/>
      </c>
      <c r="D168" s="24">
        <f>IF(A168="","",IF(OR(E168="Nomina",E168="Trading/Payout",E168="Otro ingreso"),"Ingreso","Gasto"))</f>
        <v/>
      </c>
    </row>
    <row r="169">
      <c r="B169" s="23">
        <f>IF(A169="","",TEXT(A169,"MMMM"))</f>
        <v/>
      </c>
      <c r="C169" s="23">
        <f>IF(A169="","",YEAR(A169))</f>
        <v/>
      </c>
      <c r="D169" s="23">
        <f>IF(A169="","",IF(OR(E169="Nomina",E169="Trading/Payout",E169="Otro ingreso"),"Ingreso","Gasto"))</f>
        <v/>
      </c>
    </row>
    <row r="170">
      <c r="B170" s="24">
        <f>IF(A170="","",TEXT(A170,"MMMM"))</f>
        <v/>
      </c>
      <c r="C170" s="24">
        <f>IF(A170="","",YEAR(A170))</f>
        <v/>
      </c>
      <c r="D170" s="24">
        <f>IF(A170="","",IF(OR(E170="Nomina",E170="Trading/Payout",E170="Otro ingreso"),"Ingreso","Gasto"))</f>
        <v/>
      </c>
    </row>
    <row r="171">
      <c r="B171" s="23">
        <f>IF(A171="","",TEXT(A171,"MMMM"))</f>
        <v/>
      </c>
      <c r="C171" s="23">
        <f>IF(A171="","",YEAR(A171))</f>
        <v/>
      </c>
      <c r="D171" s="23">
        <f>IF(A171="","",IF(OR(E171="Nomina",E171="Trading/Payout",E171="Otro ingreso"),"Ingreso","Gasto"))</f>
        <v/>
      </c>
    </row>
    <row r="172">
      <c r="B172" s="24">
        <f>IF(A172="","",TEXT(A172,"MMMM"))</f>
        <v/>
      </c>
      <c r="C172" s="24">
        <f>IF(A172="","",YEAR(A172))</f>
        <v/>
      </c>
      <c r="D172" s="24">
        <f>IF(A172="","",IF(OR(E172="Nomina",E172="Trading/Payout",E172="Otro ingreso"),"Ingreso","Gasto"))</f>
        <v/>
      </c>
    </row>
    <row r="173">
      <c r="B173" s="23">
        <f>IF(A173="","",TEXT(A173,"MMMM"))</f>
        <v/>
      </c>
      <c r="C173" s="23">
        <f>IF(A173="","",YEAR(A173))</f>
        <v/>
      </c>
      <c r="D173" s="23">
        <f>IF(A173="","",IF(OR(E173="Nomina",E173="Trading/Payout",E173="Otro ingreso"),"Ingreso","Gasto"))</f>
        <v/>
      </c>
    </row>
    <row r="174">
      <c r="B174" s="24">
        <f>IF(A174="","",TEXT(A174,"MMMM"))</f>
        <v/>
      </c>
      <c r="C174" s="24">
        <f>IF(A174="","",YEAR(A174))</f>
        <v/>
      </c>
      <c r="D174" s="24">
        <f>IF(A174="","",IF(OR(E174="Nomina",E174="Trading/Payout",E174="Otro ingreso"),"Ingreso","Gasto"))</f>
        <v/>
      </c>
    </row>
    <row r="175">
      <c r="B175" s="23">
        <f>IF(A175="","",TEXT(A175,"MMMM"))</f>
        <v/>
      </c>
      <c r="C175" s="23">
        <f>IF(A175="","",YEAR(A175))</f>
        <v/>
      </c>
      <c r="D175" s="23">
        <f>IF(A175="","",IF(OR(E175="Nomina",E175="Trading/Payout",E175="Otro ingreso"),"Ingreso","Gasto"))</f>
        <v/>
      </c>
    </row>
    <row r="176">
      <c r="B176" s="24">
        <f>IF(A176="","",TEXT(A176,"MMMM"))</f>
        <v/>
      </c>
      <c r="C176" s="24">
        <f>IF(A176="","",YEAR(A176))</f>
        <v/>
      </c>
      <c r="D176" s="24">
        <f>IF(A176="","",IF(OR(E176="Nomina",E176="Trading/Payout",E176="Otro ingreso"),"Ingreso","Gasto"))</f>
        <v/>
      </c>
    </row>
    <row r="177">
      <c r="B177" s="23">
        <f>IF(A177="","",TEXT(A177,"MMMM"))</f>
        <v/>
      </c>
      <c r="C177" s="23">
        <f>IF(A177="","",YEAR(A177))</f>
        <v/>
      </c>
      <c r="D177" s="23">
        <f>IF(A177="","",IF(OR(E177="Nomina",E177="Trading/Payout",E177="Otro ingreso"),"Ingreso","Gasto"))</f>
        <v/>
      </c>
    </row>
    <row r="178">
      <c r="B178" s="24">
        <f>IF(A178="","",TEXT(A178,"MMMM"))</f>
        <v/>
      </c>
      <c r="C178" s="24">
        <f>IF(A178="","",YEAR(A178))</f>
        <v/>
      </c>
      <c r="D178" s="24">
        <f>IF(A178="","",IF(OR(E178="Nomina",E178="Trading/Payout",E178="Otro ingreso"),"Ingreso","Gasto"))</f>
        <v/>
      </c>
    </row>
    <row r="179">
      <c r="B179" s="23">
        <f>IF(A179="","",TEXT(A179,"MMMM"))</f>
        <v/>
      </c>
      <c r="C179" s="23">
        <f>IF(A179="","",YEAR(A179))</f>
        <v/>
      </c>
      <c r="D179" s="23">
        <f>IF(A179="","",IF(OR(E179="Nomina",E179="Trading/Payout",E179="Otro ingreso"),"Ingreso","Gasto"))</f>
        <v/>
      </c>
    </row>
    <row r="180">
      <c r="B180" s="24">
        <f>IF(A180="","",TEXT(A180,"MMMM"))</f>
        <v/>
      </c>
      <c r="C180" s="24">
        <f>IF(A180="","",YEAR(A180))</f>
        <v/>
      </c>
      <c r="D180" s="24">
        <f>IF(A180="","",IF(OR(E180="Nomina",E180="Trading/Payout",E180="Otro ingreso"),"Ingreso","Gasto"))</f>
        <v/>
      </c>
    </row>
    <row r="181">
      <c r="B181" s="23">
        <f>IF(A181="","",TEXT(A181,"MMMM"))</f>
        <v/>
      </c>
      <c r="C181" s="23">
        <f>IF(A181="","",YEAR(A181))</f>
        <v/>
      </c>
      <c r="D181" s="23">
        <f>IF(A181="","",IF(OR(E181="Nomina",E181="Trading/Payout",E181="Otro ingreso"),"Ingreso","Gasto"))</f>
        <v/>
      </c>
    </row>
    <row r="182">
      <c r="B182" s="24">
        <f>IF(A182="","",TEXT(A182,"MMMM"))</f>
        <v/>
      </c>
      <c r="C182" s="24">
        <f>IF(A182="","",YEAR(A182))</f>
        <v/>
      </c>
      <c r="D182" s="24">
        <f>IF(A182="","",IF(OR(E182="Nomina",E182="Trading/Payout",E182="Otro ingreso"),"Ingreso","Gasto"))</f>
        <v/>
      </c>
    </row>
    <row r="183">
      <c r="B183" s="23">
        <f>IF(A183="","",TEXT(A183,"MMMM"))</f>
        <v/>
      </c>
      <c r="C183" s="23">
        <f>IF(A183="","",YEAR(A183))</f>
        <v/>
      </c>
      <c r="D183" s="23">
        <f>IF(A183="","",IF(OR(E183="Nomina",E183="Trading/Payout",E183="Otro ingreso"),"Ingreso","Gasto"))</f>
        <v/>
      </c>
    </row>
    <row r="184">
      <c r="B184" s="24">
        <f>IF(A184="","",TEXT(A184,"MMMM"))</f>
        <v/>
      </c>
      <c r="C184" s="24">
        <f>IF(A184="","",YEAR(A184))</f>
        <v/>
      </c>
      <c r="D184" s="24">
        <f>IF(A184="","",IF(OR(E184="Nomina",E184="Trading/Payout",E184="Otro ingreso"),"Ingreso","Gasto"))</f>
        <v/>
      </c>
    </row>
    <row r="185">
      <c r="B185" s="23">
        <f>IF(A185="","",TEXT(A185,"MMMM"))</f>
        <v/>
      </c>
      <c r="C185" s="23">
        <f>IF(A185="","",YEAR(A185))</f>
        <v/>
      </c>
      <c r="D185" s="23">
        <f>IF(A185="","",IF(OR(E185="Nomina",E185="Trading/Payout",E185="Otro ingreso"),"Ingreso","Gasto"))</f>
        <v/>
      </c>
    </row>
    <row r="186">
      <c r="B186" s="24">
        <f>IF(A186="","",TEXT(A186,"MMMM"))</f>
        <v/>
      </c>
      <c r="C186" s="24">
        <f>IF(A186="","",YEAR(A186))</f>
        <v/>
      </c>
      <c r="D186" s="24">
        <f>IF(A186="","",IF(OR(E186="Nomina",E186="Trading/Payout",E186="Otro ingreso"),"Ingreso","Gasto"))</f>
        <v/>
      </c>
    </row>
    <row r="187">
      <c r="B187" s="23">
        <f>IF(A187="","",TEXT(A187,"MMMM"))</f>
        <v/>
      </c>
      <c r="C187" s="23">
        <f>IF(A187="","",YEAR(A187))</f>
        <v/>
      </c>
      <c r="D187" s="23">
        <f>IF(A187="","",IF(OR(E187="Nomina",E187="Trading/Payout",E187="Otro ingreso"),"Ingreso","Gasto"))</f>
        <v/>
      </c>
    </row>
    <row r="188">
      <c r="B188" s="24">
        <f>IF(A188="","",TEXT(A188,"MMMM"))</f>
        <v/>
      </c>
      <c r="C188" s="24">
        <f>IF(A188="","",YEAR(A188))</f>
        <v/>
      </c>
      <c r="D188" s="24">
        <f>IF(A188="","",IF(OR(E188="Nomina",E188="Trading/Payout",E188="Otro ingreso"),"Ingreso","Gasto"))</f>
        <v/>
      </c>
    </row>
    <row r="189">
      <c r="B189" s="23">
        <f>IF(A189="","",TEXT(A189,"MMMM"))</f>
        <v/>
      </c>
      <c r="C189" s="23">
        <f>IF(A189="","",YEAR(A189))</f>
        <v/>
      </c>
      <c r="D189" s="23">
        <f>IF(A189="","",IF(OR(E189="Nomina",E189="Trading/Payout",E189="Otro ingreso"),"Ingreso","Gasto"))</f>
        <v/>
      </c>
    </row>
    <row r="190">
      <c r="B190" s="24">
        <f>IF(A190="","",TEXT(A190,"MMMM"))</f>
        <v/>
      </c>
      <c r="C190" s="24">
        <f>IF(A190="","",YEAR(A190))</f>
        <v/>
      </c>
      <c r="D190" s="24">
        <f>IF(A190="","",IF(OR(E190="Nomina",E190="Trading/Payout",E190="Otro ingreso"),"Ingreso","Gasto"))</f>
        <v/>
      </c>
    </row>
    <row r="191">
      <c r="B191" s="23">
        <f>IF(A191="","",TEXT(A191,"MMMM"))</f>
        <v/>
      </c>
      <c r="C191" s="23">
        <f>IF(A191="","",YEAR(A191))</f>
        <v/>
      </c>
      <c r="D191" s="23">
        <f>IF(A191="","",IF(OR(E191="Nomina",E191="Trading/Payout",E191="Otro ingreso"),"Ingreso","Gasto"))</f>
        <v/>
      </c>
    </row>
    <row r="192">
      <c r="B192" s="24">
        <f>IF(A192="","",TEXT(A192,"MMMM"))</f>
        <v/>
      </c>
      <c r="C192" s="24">
        <f>IF(A192="","",YEAR(A192))</f>
        <v/>
      </c>
      <c r="D192" s="24">
        <f>IF(A192="","",IF(OR(E192="Nomina",E192="Trading/Payout",E192="Otro ingreso"),"Ingreso","Gasto"))</f>
        <v/>
      </c>
    </row>
    <row r="193">
      <c r="B193" s="23">
        <f>IF(A193="","",TEXT(A193,"MMMM"))</f>
        <v/>
      </c>
      <c r="C193" s="23">
        <f>IF(A193="","",YEAR(A193))</f>
        <v/>
      </c>
      <c r="D193" s="23">
        <f>IF(A193="","",IF(OR(E193="Nomina",E193="Trading/Payout",E193="Otro ingreso"),"Ingreso","Gasto"))</f>
        <v/>
      </c>
    </row>
    <row r="194">
      <c r="B194" s="24">
        <f>IF(A194="","",TEXT(A194,"MMMM"))</f>
        <v/>
      </c>
      <c r="C194" s="24">
        <f>IF(A194="","",YEAR(A194))</f>
        <v/>
      </c>
      <c r="D194" s="24">
        <f>IF(A194="","",IF(OR(E194="Nomina",E194="Trading/Payout",E194="Otro ingreso"),"Ingreso","Gasto"))</f>
        <v/>
      </c>
    </row>
    <row r="195">
      <c r="B195" s="23">
        <f>IF(A195="","",TEXT(A195,"MMMM"))</f>
        <v/>
      </c>
      <c r="C195" s="23">
        <f>IF(A195="","",YEAR(A195))</f>
        <v/>
      </c>
      <c r="D195" s="23">
        <f>IF(A195="","",IF(OR(E195="Nomina",E195="Trading/Payout",E195="Otro ingreso"),"Ingreso","Gasto"))</f>
        <v/>
      </c>
    </row>
    <row r="196">
      <c r="B196" s="24">
        <f>IF(A196="","",TEXT(A196,"MMMM"))</f>
        <v/>
      </c>
      <c r="C196" s="24">
        <f>IF(A196="","",YEAR(A196))</f>
        <v/>
      </c>
      <c r="D196" s="24">
        <f>IF(A196="","",IF(OR(E196="Nomina",E196="Trading/Payout",E196="Otro ingreso"),"Ingreso","Gasto"))</f>
        <v/>
      </c>
    </row>
    <row r="197">
      <c r="B197" s="23">
        <f>IF(A197="","",TEXT(A197,"MMMM"))</f>
        <v/>
      </c>
      <c r="C197" s="23">
        <f>IF(A197="","",YEAR(A197))</f>
        <v/>
      </c>
      <c r="D197" s="23">
        <f>IF(A197="","",IF(OR(E197="Nomina",E197="Trading/Payout",E197="Otro ingreso"),"Ingreso","Gasto"))</f>
        <v/>
      </c>
    </row>
    <row r="198">
      <c r="B198" s="24">
        <f>IF(A198="","",TEXT(A198,"MMMM"))</f>
        <v/>
      </c>
      <c r="C198" s="24">
        <f>IF(A198="","",YEAR(A198))</f>
        <v/>
      </c>
      <c r="D198" s="24">
        <f>IF(A198="","",IF(OR(E198="Nomina",E198="Trading/Payout",E198="Otro ingreso"),"Ingreso","Gasto"))</f>
        <v/>
      </c>
    </row>
    <row r="199">
      <c r="B199" s="23">
        <f>IF(A199="","",TEXT(A199,"MMMM"))</f>
        <v/>
      </c>
      <c r="C199" s="23">
        <f>IF(A199="","",YEAR(A199))</f>
        <v/>
      </c>
      <c r="D199" s="23">
        <f>IF(A199="","",IF(OR(E199="Nomina",E199="Trading/Payout",E199="Otro ingreso"),"Ingreso","Gasto"))</f>
        <v/>
      </c>
    </row>
    <row r="200">
      <c r="B200" s="24">
        <f>IF(A200="","",TEXT(A200,"MMMM"))</f>
        <v/>
      </c>
      <c r="C200" s="24">
        <f>IF(A200="","",YEAR(A200))</f>
        <v/>
      </c>
      <c r="D200" s="24">
        <f>IF(A200="","",IF(OR(E200="Nomina",E200="Trading/Payout",E200="Otro ingreso"),"Ingreso","Gasto"))</f>
        <v/>
      </c>
    </row>
    <row r="201">
      <c r="B201" s="23">
        <f>IF(A201="","",TEXT(A201,"MMMM"))</f>
        <v/>
      </c>
      <c r="C201" s="23">
        <f>IF(A201="","",YEAR(A201))</f>
        <v/>
      </c>
      <c r="D201" s="23">
        <f>IF(A201="","",IF(OR(E201="Nomina",E201="Trading/Payout",E201="Otro ingreso"),"Ingreso","Gasto"))</f>
        <v/>
      </c>
    </row>
    <row r="202">
      <c r="B202" s="24">
        <f>IF(A202="","",TEXT(A202,"MMMM"))</f>
        <v/>
      </c>
      <c r="C202" s="24">
        <f>IF(A202="","",YEAR(A202))</f>
        <v/>
      </c>
      <c r="D202" s="24">
        <f>IF(A202="","",IF(OR(E202="Nomina",E202="Trading/Payout",E202="Otro ingreso"),"Ingreso","Gasto"))</f>
        <v/>
      </c>
    </row>
    <row r="203">
      <c r="B203" s="23">
        <f>IF(A203="","",TEXT(A203,"MMMM"))</f>
        <v/>
      </c>
      <c r="C203" s="23">
        <f>IF(A203="","",YEAR(A203))</f>
        <v/>
      </c>
      <c r="D203" s="23">
        <f>IF(A203="","",IF(OR(E203="Nomina",E203="Trading/Payout",E203="Otro ingreso"),"Ingreso","Gasto"))</f>
        <v/>
      </c>
    </row>
    <row r="204">
      <c r="B204" s="24">
        <f>IF(A204="","",TEXT(A204,"MMMM"))</f>
        <v/>
      </c>
      <c r="C204" s="24">
        <f>IF(A204="","",YEAR(A204))</f>
        <v/>
      </c>
      <c r="D204" s="24">
        <f>IF(A204="","",IF(OR(E204="Nomina",E204="Trading/Payout",E204="Otro ingreso"),"Ingreso","Gasto"))</f>
        <v/>
      </c>
    </row>
    <row r="205">
      <c r="B205" s="23">
        <f>IF(A205="","",TEXT(A205,"MMMM"))</f>
        <v/>
      </c>
      <c r="C205" s="23">
        <f>IF(A205="","",YEAR(A205))</f>
        <v/>
      </c>
      <c r="D205" s="23">
        <f>IF(A205="","",IF(OR(E205="Nomina",E205="Trading/Payout",E205="Otro ingreso"),"Ingreso","Gasto"))</f>
        <v/>
      </c>
    </row>
    <row r="206">
      <c r="B206" s="24">
        <f>IF(A206="","",TEXT(A206,"MMMM"))</f>
        <v/>
      </c>
      <c r="C206" s="24">
        <f>IF(A206="","",YEAR(A206))</f>
        <v/>
      </c>
      <c r="D206" s="24">
        <f>IF(A206="","",IF(OR(E206="Nomina",E206="Trading/Payout",E206="Otro ingreso"),"Ingreso","Gasto"))</f>
        <v/>
      </c>
    </row>
    <row r="207">
      <c r="B207" s="23">
        <f>IF(A207="","",TEXT(A207,"MMMM"))</f>
        <v/>
      </c>
      <c r="C207" s="23">
        <f>IF(A207="","",YEAR(A207))</f>
        <v/>
      </c>
      <c r="D207" s="23">
        <f>IF(A207="","",IF(OR(E207="Nomina",E207="Trading/Payout",E207="Otro ingreso"),"Ingreso","Gasto"))</f>
        <v/>
      </c>
    </row>
    <row r="208">
      <c r="B208" s="24">
        <f>IF(A208="","",TEXT(A208,"MMMM"))</f>
        <v/>
      </c>
      <c r="C208" s="24">
        <f>IF(A208="","",YEAR(A208))</f>
        <v/>
      </c>
      <c r="D208" s="24">
        <f>IF(A208="","",IF(OR(E208="Nomina",E208="Trading/Payout",E208="Otro ingreso"),"Ingreso","Gasto"))</f>
        <v/>
      </c>
    </row>
    <row r="209">
      <c r="B209" s="23">
        <f>IF(A209="","",TEXT(A209,"MMMM"))</f>
        <v/>
      </c>
      <c r="C209" s="23">
        <f>IF(A209="","",YEAR(A209))</f>
        <v/>
      </c>
      <c r="D209" s="23">
        <f>IF(A209="","",IF(OR(E209="Nomina",E209="Trading/Payout",E209="Otro ingreso"),"Ingreso","Gasto"))</f>
        <v/>
      </c>
    </row>
    <row r="210">
      <c r="B210" s="24">
        <f>IF(A210="","",TEXT(A210,"MMMM"))</f>
        <v/>
      </c>
      <c r="C210" s="24">
        <f>IF(A210="","",YEAR(A210))</f>
        <v/>
      </c>
      <c r="D210" s="24">
        <f>IF(A210="","",IF(OR(E210="Nomina",E210="Trading/Payout",E210="Otro ingreso"),"Ingreso","Gasto"))</f>
        <v/>
      </c>
    </row>
    <row r="211">
      <c r="B211" s="23">
        <f>IF(A211="","",TEXT(A211,"MMMM"))</f>
        <v/>
      </c>
      <c r="C211" s="23">
        <f>IF(A211="","",YEAR(A211))</f>
        <v/>
      </c>
      <c r="D211" s="23">
        <f>IF(A211="","",IF(OR(E211="Nomina",E211="Trading/Payout",E211="Otro ingreso"),"Ingreso","Gasto"))</f>
        <v/>
      </c>
    </row>
    <row r="212">
      <c r="B212" s="24">
        <f>IF(A212="","",TEXT(A212,"MMMM"))</f>
        <v/>
      </c>
      <c r="C212" s="24">
        <f>IF(A212="","",YEAR(A212))</f>
        <v/>
      </c>
      <c r="D212" s="24">
        <f>IF(A212="","",IF(OR(E212="Nomina",E212="Trading/Payout",E212="Otro ingreso"),"Ingreso","Gasto"))</f>
        <v/>
      </c>
    </row>
    <row r="213">
      <c r="B213" s="23">
        <f>IF(A213="","",TEXT(A213,"MMMM"))</f>
        <v/>
      </c>
      <c r="C213" s="23">
        <f>IF(A213="","",YEAR(A213))</f>
        <v/>
      </c>
      <c r="D213" s="23">
        <f>IF(A213="","",IF(OR(E213="Nomina",E213="Trading/Payout",E213="Otro ingreso"),"Ingreso","Gasto"))</f>
        <v/>
      </c>
    </row>
    <row r="214">
      <c r="B214" s="24">
        <f>IF(A214="","",TEXT(A214,"MMMM"))</f>
        <v/>
      </c>
      <c r="C214" s="24">
        <f>IF(A214="","",YEAR(A214))</f>
        <v/>
      </c>
      <c r="D214" s="24">
        <f>IF(A214="","",IF(OR(E214="Nomina",E214="Trading/Payout",E214="Otro ingreso"),"Ingreso","Gasto"))</f>
        <v/>
      </c>
    </row>
    <row r="215">
      <c r="B215" s="23">
        <f>IF(A215="","",TEXT(A215,"MMMM"))</f>
        <v/>
      </c>
      <c r="C215" s="23">
        <f>IF(A215="","",YEAR(A215))</f>
        <v/>
      </c>
      <c r="D215" s="23">
        <f>IF(A215="","",IF(OR(E215="Nomina",E215="Trading/Payout",E215="Otro ingreso"),"Ingreso","Gasto"))</f>
        <v/>
      </c>
    </row>
    <row r="216">
      <c r="B216" s="24">
        <f>IF(A216="","",TEXT(A216,"MMMM"))</f>
        <v/>
      </c>
      <c r="C216" s="24">
        <f>IF(A216="","",YEAR(A216))</f>
        <v/>
      </c>
      <c r="D216" s="24">
        <f>IF(A216="","",IF(OR(E216="Nomina",E216="Trading/Payout",E216="Otro ingreso"),"Ingreso","Gasto"))</f>
        <v/>
      </c>
    </row>
    <row r="217">
      <c r="B217" s="23">
        <f>IF(A217="","",TEXT(A217,"MMMM"))</f>
        <v/>
      </c>
      <c r="C217" s="23">
        <f>IF(A217="","",YEAR(A217))</f>
        <v/>
      </c>
      <c r="D217" s="23">
        <f>IF(A217="","",IF(OR(E217="Nomina",E217="Trading/Payout",E217="Otro ingreso"),"Ingreso","Gasto"))</f>
        <v/>
      </c>
    </row>
    <row r="218">
      <c r="B218" s="24">
        <f>IF(A218="","",TEXT(A218,"MMMM"))</f>
        <v/>
      </c>
      <c r="C218" s="24">
        <f>IF(A218="","",YEAR(A218))</f>
        <v/>
      </c>
      <c r="D218" s="24">
        <f>IF(A218="","",IF(OR(E218="Nomina",E218="Trading/Payout",E218="Otro ingreso"),"Ingreso","Gasto"))</f>
        <v/>
      </c>
    </row>
    <row r="219">
      <c r="B219" s="23">
        <f>IF(A219="","",TEXT(A219,"MMMM"))</f>
        <v/>
      </c>
      <c r="C219" s="23">
        <f>IF(A219="","",YEAR(A219))</f>
        <v/>
      </c>
      <c r="D219" s="23">
        <f>IF(A219="","",IF(OR(E219="Nomina",E219="Trading/Payout",E219="Otro ingreso"),"Ingreso","Gasto"))</f>
        <v/>
      </c>
    </row>
    <row r="220">
      <c r="B220" s="24">
        <f>IF(A220="","",TEXT(A220,"MMMM"))</f>
        <v/>
      </c>
      <c r="C220" s="24">
        <f>IF(A220="","",YEAR(A220))</f>
        <v/>
      </c>
      <c r="D220" s="24">
        <f>IF(A220="","",IF(OR(E220="Nomina",E220="Trading/Payout",E220="Otro ingreso"),"Ingreso","Gasto"))</f>
        <v/>
      </c>
    </row>
    <row r="221">
      <c r="B221" s="23">
        <f>IF(A221="","",TEXT(A221,"MMMM"))</f>
        <v/>
      </c>
      <c r="C221" s="23">
        <f>IF(A221="","",YEAR(A221))</f>
        <v/>
      </c>
      <c r="D221" s="23">
        <f>IF(A221="","",IF(OR(E221="Nomina",E221="Trading/Payout",E221="Otro ingreso"),"Ingreso","Gasto"))</f>
        <v/>
      </c>
    </row>
    <row r="222">
      <c r="B222" s="24">
        <f>IF(A222="","",TEXT(A222,"MMMM"))</f>
        <v/>
      </c>
      <c r="C222" s="24">
        <f>IF(A222="","",YEAR(A222))</f>
        <v/>
      </c>
      <c r="D222" s="24">
        <f>IF(A222="","",IF(OR(E222="Nomina",E222="Trading/Payout",E222="Otro ingreso"),"Ingreso","Gasto"))</f>
        <v/>
      </c>
    </row>
    <row r="223">
      <c r="B223" s="23">
        <f>IF(A223="","",TEXT(A223,"MMMM"))</f>
        <v/>
      </c>
      <c r="C223" s="23">
        <f>IF(A223="","",YEAR(A223))</f>
        <v/>
      </c>
      <c r="D223" s="23">
        <f>IF(A223="","",IF(OR(E223="Nomina",E223="Trading/Payout",E223="Otro ingreso"),"Ingreso","Gasto"))</f>
        <v/>
      </c>
    </row>
    <row r="224">
      <c r="B224" s="24">
        <f>IF(A224="","",TEXT(A224,"MMMM"))</f>
        <v/>
      </c>
      <c r="C224" s="24">
        <f>IF(A224="","",YEAR(A224))</f>
        <v/>
      </c>
      <c r="D224" s="24">
        <f>IF(A224="","",IF(OR(E224="Nomina",E224="Trading/Payout",E224="Otro ingreso"),"Ingreso","Gasto"))</f>
        <v/>
      </c>
    </row>
    <row r="225">
      <c r="B225" s="23">
        <f>IF(A225="","",TEXT(A225,"MMMM"))</f>
        <v/>
      </c>
      <c r="C225" s="23">
        <f>IF(A225="","",YEAR(A225))</f>
        <v/>
      </c>
      <c r="D225" s="23">
        <f>IF(A225="","",IF(OR(E225="Nomina",E225="Trading/Payout",E225="Otro ingreso"),"Ingreso","Gasto"))</f>
        <v/>
      </c>
    </row>
    <row r="226">
      <c r="B226" s="24">
        <f>IF(A226="","",TEXT(A226,"MMMM"))</f>
        <v/>
      </c>
      <c r="C226" s="24">
        <f>IF(A226="","",YEAR(A226))</f>
        <v/>
      </c>
      <c r="D226" s="24">
        <f>IF(A226="","",IF(OR(E226="Nomina",E226="Trading/Payout",E226="Otro ingreso"),"Ingreso","Gasto"))</f>
        <v/>
      </c>
    </row>
    <row r="227">
      <c r="B227" s="23">
        <f>IF(A227="","",TEXT(A227,"MMMM"))</f>
        <v/>
      </c>
      <c r="C227" s="23">
        <f>IF(A227="","",YEAR(A227))</f>
        <v/>
      </c>
      <c r="D227" s="23">
        <f>IF(A227="","",IF(OR(E227="Nomina",E227="Trading/Payout",E227="Otro ingreso"),"Ingreso","Gasto"))</f>
        <v/>
      </c>
    </row>
    <row r="228">
      <c r="B228" s="24">
        <f>IF(A228="","",TEXT(A228,"MMMM"))</f>
        <v/>
      </c>
      <c r="C228" s="24">
        <f>IF(A228="","",YEAR(A228))</f>
        <v/>
      </c>
      <c r="D228" s="24">
        <f>IF(A228="","",IF(OR(E228="Nomina",E228="Trading/Payout",E228="Otro ingreso"),"Ingreso","Gasto"))</f>
        <v/>
      </c>
    </row>
    <row r="229">
      <c r="B229" s="23">
        <f>IF(A229="","",TEXT(A229,"MMMM"))</f>
        <v/>
      </c>
      <c r="C229" s="23">
        <f>IF(A229="","",YEAR(A229))</f>
        <v/>
      </c>
      <c r="D229" s="23">
        <f>IF(A229="","",IF(OR(E229="Nomina",E229="Trading/Payout",E229="Otro ingreso"),"Ingreso","Gasto"))</f>
        <v/>
      </c>
    </row>
    <row r="230">
      <c r="B230" s="24">
        <f>IF(A230="","",TEXT(A230,"MMMM"))</f>
        <v/>
      </c>
      <c r="C230" s="24">
        <f>IF(A230="","",YEAR(A230))</f>
        <v/>
      </c>
      <c r="D230" s="24">
        <f>IF(A230="","",IF(OR(E230="Nomina",E230="Trading/Payout",E230="Otro ingreso"),"Ingreso","Gasto"))</f>
        <v/>
      </c>
    </row>
    <row r="231">
      <c r="B231" s="23">
        <f>IF(A231="","",TEXT(A231,"MMMM"))</f>
        <v/>
      </c>
      <c r="C231" s="23">
        <f>IF(A231="","",YEAR(A231))</f>
        <v/>
      </c>
      <c r="D231" s="23">
        <f>IF(A231="","",IF(OR(E231="Nomina",E231="Trading/Payout",E231="Otro ingreso"),"Ingreso","Gasto"))</f>
        <v/>
      </c>
    </row>
    <row r="232">
      <c r="B232" s="24">
        <f>IF(A232="","",TEXT(A232,"MMMM"))</f>
        <v/>
      </c>
      <c r="C232" s="24">
        <f>IF(A232="","",YEAR(A232))</f>
        <v/>
      </c>
      <c r="D232" s="24">
        <f>IF(A232="","",IF(OR(E232="Nomina",E232="Trading/Payout",E232="Otro ingreso"),"Ingreso","Gasto"))</f>
        <v/>
      </c>
    </row>
    <row r="233">
      <c r="B233" s="23">
        <f>IF(A233="","",TEXT(A233,"MMMM"))</f>
        <v/>
      </c>
      <c r="C233" s="23">
        <f>IF(A233="","",YEAR(A233))</f>
        <v/>
      </c>
      <c r="D233" s="23">
        <f>IF(A233="","",IF(OR(E233="Nomina",E233="Trading/Payout",E233="Otro ingreso"),"Ingreso","Gasto"))</f>
        <v/>
      </c>
    </row>
    <row r="234">
      <c r="B234" s="24">
        <f>IF(A234="","",TEXT(A234,"MMMM"))</f>
        <v/>
      </c>
      <c r="C234" s="24">
        <f>IF(A234="","",YEAR(A234))</f>
        <v/>
      </c>
      <c r="D234" s="24">
        <f>IF(A234="","",IF(OR(E234="Nomina",E234="Trading/Payout",E234="Otro ingreso"),"Ingreso","Gasto"))</f>
        <v/>
      </c>
    </row>
    <row r="235">
      <c r="B235" s="23">
        <f>IF(A235="","",TEXT(A235,"MMMM"))</f>
        <v/>
      </c>
      <c r="C235" s="23">
        <f>IF(A235="","",YEAR(A235))</f>
        <v/>
      </c>
      <c r="D235" s="23">
        <f>IF(A235="","",IF(OR(E235="Nomina",E235="Trading/Payout",E235="Otro ingreso"),"Ingreso","Gasto"))</f>
        <v/>
      </c>
    </row>
    <row r="236">
      <c r="B236" s="24">
        <f>IF(A236="","",TEXT(A236,"MMMM"))</f>
        <v/>
      </c>
      <c r="C236" s="24">
        <f>IF(A236="","",YEAR(A236))</f>
        <v/>
      </c>
      <c r="D236" s="24">
        <f>IF(A236="","",IF(OR(E236="Nomina",E236="Trading/Payout",E236="Otro ingreso"),"Ingreso","Gasto"))</f>
        <v/>
      </c>
    </row>
    <row r="237">
      <c r="B237" s="23">
        <f>IF(A237="","",TEXT(A237,"MMMM"))</f>
        <v/>
      </c>
      <c r="C237" s="23">
        <f>IF(A237="","",YEAR(A237))</f>
        <v/>
      </c>
      <c r="D237" s="23">
        <f>IF(A237="","",IF(OR(E237="Nomina",E237="Trading/Payout",E237="Otro ingreso"),"Ingreso","Gasto"))</f>
        <v/>
      </c>
    </row>
    <row r="238">
      <c r="B238" s="24">
        <f>IF(A238="","",TEXT(A238,"MMMM"))</f>
        <v/>
      </c>
      <c r="C238" s="24">
        <f>IF(A238="","",YEAR(A238))</f>
        <v/>
      </c>
      <c r="D238" s="24">
        <f>IF(A238="","",IF(OR(E238="Nomina",E238="Trading/Payout",E238="Otro ingreso"),"Ingreso","Gasto"))</f>
        <v/>
      </c>
    </row>
    <row r="239">
      <c r="B239" s="23">
        <f>IF(A239="","",TEXT(A239,"MMMM"))</f>
        <v/>
      </c>
      <c r="C239" s="23">
        <f>IF(A239="","",YEAR(A239))</f>
        <v/>
      </c>
      <c r="D239" s="23">
        <f>IF(A239="","",IF(OR(E239="Nomina",E239="Trading/Payout",E239="Otro ingreso"),"Ingreso","Gasto"))</f>
        <v/>
      </c>
    </row>
    <row r="240">
      <c r="B240" s="24">
        <f>IF(A240="","",TEXT(A240,"MMMM"))</f>
        <v/>
      </c>
      <c r="C240" s="24">
        <f>IF(A240="","",YEAR(A240))</f>
        <v/>
      </c>
      <c r="D240" s="24">
        <f>IF(A240="","",IF(OR(E240="Nomina",E240="Trading/Payout",E240="Otro ingreso"),"Ingreso","Gasto"))</f>
        <v/>
      </c>
    </row>
    <row r="241">
      <c r="B241" s="23">
        <f>IF(A241="","",TEXT(A241,"MMMM"))</f>
        <v/>
      </c>
      <c r="C241" s="23">
        <f>IF(A241="","",YEAR(A241))</f>
        <v/>
      </c>
      <c r="D241" s="23">
        <f>IF(A241="","",IF(OR(E241="Nomina",E241="Trading/Payout",E241="Otro ingreso"),"Ingreso","Gasto"))</f>
        <v/>
      </c>
    </row>
    <row r="242">
      <c r="B242" s="24">
        <f>IF(A242="","",TEXT(A242,"MMMM"))</f>
        <v/>
      </c>
      <c r="C242" s="24">
        <f>IF(A242="","",YEAR(A242))</f>
        <v/>
      </c>
      <c r="D242" s="24">
        <f>IF(A242="","",IF(OR(E242="Nomina",E242="Trading/Payout",E242="Otro ingreso"),"Ingreso","Gasto"))</f>
        <v/>
      </c>
    </row>
    <row r="243">
      <c r="B243" s="23">
        <f>IF(A243="","",TEXT(A243,"MMMM"))</f>
        <v/>
      </c>
      <c r="C243" s="23">
        <f>IF(A243="","",YEAR(A243))</f>
        <v/>
      </c>
      <c r="D243" s="23">
        <f>IF(A243="","",IF(OR(E243="Nomina",E243="Trading/Payout",E243="Otro ingreso"),"Ingreso","Gasto"))</f>
        <v/>
      </c>
    </row>
    <row r="244">
      <c r="B244" s="24">
        <f>IF(A244="","",TEXT(A244,"MMMM"))</f>
        <v/>
      </c>
      <c r="C244" s="24">
        <f>IF(A244="","",YEAR(A244))</f>
        <v/>
      </c>
      <c r="D244" s="24">
        <f>IF(A244="","",IF(OR(E244="Nomina",E244="Trading/Payout",E244="Otro ingreso"),"Ingreso","Gasto"))</f>
        <v/>
      </c>
    </row>
    <row r="245">
      <c r="B245" s="23">
        <f>IF(A245="","",TEXT(A245,"MMMM"))</f>
        <v/>
      </c>
      <c r="C245" s="23">
        <f>IF(A245="","",YEAR(A245))</f>
        <v/>
      </c>
      <c r="D245" s="23">
        <f>IF(A245="","",IF(OR(E245="Nomina",E245="Trading/Payout",E245="Otro ingreso"),"Ingreso","Gasto"))</f>
        <v/>
      </c>
    </row>
    <row r="246">
      <c r="B246" s="24">
        <f>IF(A246="","",TEXT(A246,"MMMM"))</f>
        <v/>
      </c>
      <c r="C246" s="24">
        <f>IF(A246="","",YEAR(A246))</f>
        <v/>
      </c>
      <c r="D246" s="24">
        <f>IF(A246="","",IF(OR(E246="Nomina",E246="Trading/Payout",E246="Otro ingreso"),"Ingreso","Gasto"))</f>
        <v/>
      </c>
    </row>
    <row r="247">
      <c r="B247" s="23">
        <f>IF(A247="","",TEXT(A247,"MMMM"))</f>
        <v/>
      </c>
      <c r="C247" s="23">
        <f>IF(A247="","",YEAR(A247))</f>
        <v/>
      </c>
      <c r="D247" s="23">
        <f>IF(A247="","",IF(OR(E247="Nomina",E247="Trading/Payout",E247="Otro ingreso"),"Ingreso","Gasto"))</f>
        <v/>
      </c>
    </row>
    <row r="248">
      <c r="B248" s="24">
        <f>IF(A248="","",TEXT(A248,"MMMM"))</f>
        <v/>
      </c>
      <c r="C248" s="24">
        <f>IF(A248="","",YEAR(A248))</f>
        <v/>
      </c>
      <c r="D248" s="24">
        <f>IF(A248="","",IF(OR(E248="Nomina",E248="Trading/Payout",E248="Otro ingreso"),"Ingreso","Gasto"))</f>
        <v/>
      </c>
    </row>
    <row r="249">
      <c r="B249" s="23">
        <f>IF(A249="","",TEXT(A249,"MMMM"))</f>
        <v/>
      </c>
      <c r="C249" s="23">
        <f>IF(A249="","",YEAR(A249))</f>
        <v/>
      </c>
      <c r="D249" s="23">
        <f>IF(A249="","",IF(OR(E249="Nomina",E249="Trading/Payout",E249="Otro ingreso"),"Ingreso","Gasto"))</f>
        <v/>
      </c>
    </row>
    <row r="250">
      <c r="B250" s="24">
        <f>IF(A250="","",TEXT(A250,"MMMM"))</f>
        <v/>
      </c>
      <c r="C250" s="24">
        <f>IF(A250="","",YEAR(A250))</f>
        <v/>
      </c>
      <c r="D250" s="24">
        <f>IF(A250="","",IF(OR(E250="Nomina",E250="Trading/Payout",E250="Otro ingreso"),"Ingreso","Gasto"))</f>
        <v/>
      </c>
    </row>
    <row r="251">
      <c r="B251" s="23">
        <f>IF(A251="","",TEXT(A251,"MMMM"))</f>
        <v/>
      </c>
      <c r="C251" s="23">
        <f>IF(A251="","",YEAR(A251))</f>
        <v/>
      </c>
      <c r="D251" s="23">
        <f>IF(A251="","",IF(OR(E251="Nomina",E251="Trading/Payout",E251="Otro ingreso"),"Ingreso","Gasto"))</f>
        <v/>
      </c>
    </row>
    <row r="252">
      <c r="B252" s="24">
        <f>IF(A252="","",TEXT(A252,"MMMM"))</f>
        <v/>
      </c>
      <c r="C252" s="24">
        <f>IF(A252="","",YEAR(A252))</f>
        <v/>
      </c>
      <c r="D252" s="24">
        <f>IF(A252="","",IF(OR(E252="Nomina",E252="Trading/Payout",E252="Otro ingreso"),"Ingreso","Gasto"))</f>
        <v/>
      </c>
    </row>
    <row r="253">
      <c r="B253" s="23">
        <f>IF(A253="","",TEXT(A253,"MMMM"))</f>
        <v/>
      </c>
      <c r="C253" s="23">
        <f>IF(A253="","",YEAR(A253))</f>
        <v/>
      </c>
      <c r="D253" s="23">
        <f>IF(A253="","",IF(OR(E253="Nomina",E253="Trading/Payout",E253="Otro ingreso"),"Ingreso","Gasto"))</f>
        <v/>
      </c>
    </row>
    <row r="254">
      <c r="B254" s="24">
        <f>IF(A254="","",TEXT(A254,"MMMM"))</f>
        <v/>
      </c>
      <c r="C254" s="24">
        <f>IF(A254="","",YEAR(A254))</f>
        <v/>
      </c>
      <c r="D254" s="24">
        <f>IF(A254="","",IF(OR(E254="Nomina",E254="Trading/Payout",E254="Otro ingreso"),"Ingreso","Gasto"))</f>
        <v/>
      </c>
    </row>
    <row r="255">
      <c r="B255" s="23">
        <f>IF(A255="","",TEXT(A255,"MMMM"))</f>
        <v/>
      </c>
      <c r="C255" s="23">
        <f>IF(A255="","",YEAR(A255))</f>
        <v/>
      </c>
      <c r="D255" s="23">
        <f>IF(A255="","",IF(OR(E255="Nomina",E255="Trading/Payout",E255="Otro ingreso"),"Ingreso","Gasto"))</f>
        <v/>
      </c>
    </row>
    <row r="256">
      <c r="B256" s="24">
        <f>IF(A256="","",TEXT(A256,"MMMM"))</f>
        <v/>
      </c>
      <c r="C256" s="24">
        <f>IF(A256="","",YEAR(A256))</f>
        <v/>
      </c>
      <c r="D256" s="24">
        <f>IF(A256="","",IF(OR(E256="Nomina",E256="Trading/Payout",E256="Otro ingreso"),"Ingreso","Gasto"))</f>
        <v/>
      </c>
    </row>
    <row r="257">
      <c r="B257" s="23">
        <f>IF(A257="","",TEXT(A257,"MMMM"))</f>
        <v/>
      </c>
      <c r="C257" s="23">
        <f>IF(A257="","",YEAR(A257))</f>
        <v/>
      </c>
      <c r="D257" s="23">
        <f>IF(A257="","",IF(OR(E257="Nomina",E257="Trading/Payout",E257="Otro ingreso"),"Ingreso","Gasto"))</f>
        <v/>
      </c>
    </row>
    <row r="258">
      <c r="B258" s="24">
        <f>IF(A258="","",TEXT(A258,"MMMM"))</f>
        <v/>
      </c>
      <c r="C258" s="24">
        <f>IF(A258="","",YEAR(A258))</f>
        <v/>
      </c>
      <c r="D258" s="24">
        <f>IF(A258="","",IF(OR(E258="Nomina",E258="Trading/Payout",E258="Otro ingreso"),"Ingreso","Gasto"))</f>
        <v/>
      </c>
    </row>
    <row r="259">
      <c r="B259" s="23">
        <f>IF(A259="","",TEXT(A259,"MMMM"))</f>
        <v/>
      </c>
      <c r="C259" s="23">
        <f>IF(A259="","",YEAR(A259))</f>
        <v/>
      </c>
      <c r="D259" s="23">
        <f>IF(A259="","",IF(OR(E259="Nomina",E259="Trading/Payout",E259="Otro ingreso"),"Ingreso","Gasto"))</f>
        <v/>
      </c>
    </row>
    <row r="260">
      <c r="B260" s="24">
        <f>IF(A260="","",TEXT(A260,"MMMM"))</f>
        <v/>
      </c>
      <c r="C260" s="24">
        <f>IF(A260="","",YEAR(A260))</f>
        <v/>
      </c>
      <c r="D260" s="24">
        <f>IF(A260="","",IF(OR(E260="Nomina",E260="Trading/Payout",E260="Otro ingreso"),"Ingreso","Gasto"))</f>
        <v/>
      </c>
    </row>
    <row r="261">
      <c r="B261" s="23">
        <f>IF(A261="","",TEXT(A261,"MMMM"))</f>
        <v/>
      </c>
      <c r="C261" s="23">
        <f>IF(A261="","",YEAR(A261))</f>
        <v/>
      </c>
      <c r="D261" s="23">
        <f>IF(A261="","",IF(OR(E261="Nomina",E261="Trading/Payout",E261="Otro ingreso"),"Ingreso","Gasto"))</f>
        <v/>
      </c>
    </row>
    <row r="262">
      <c r="B262" s="24">
        <f>IF(A262="","",TEXT(A262,"MMMM"))</f>
        <v/>
      </c>
      <c r="C262" s="24">
        <f>IF(A262="","",YEAR(A262))</f>
        <v/>
      </c>
      <c r="D262" s="24">
        <f>IF(A262="","",IF(OR(E262="Nomina",E262="Trading/Payout",E262="Otro ingreso"),"Ingreso","Gasto"))</f>
        <v/>
      </c>
    </row>
    <row r="263">
      <c r="B263" s="23">
        <f>IF(A263="","",TEXT(A263,"MMMM"))</f>
        <v/>
      </c>
      <c r="C263" s="23">
        <f>IF(A263="","",YEAR(A263))</f>
        <v/>
      </c>
      <c r="D263" s="23">
        <f>IF(A263="","",IF(OR(E263="Nomina",E263="Trading/Payout",E263="Otro ingreso"),"Ingreso","Gasto"))</f>
        <v/>
      </c>
    </row>
    <row r="264">
      <c r="B264" s="24">
        <f>IF(A264="","",TEXT(A264,"MMMM"))</f>
        <v/>
      </c>
      <c r="C264" s="24">
        <f>IF(A264="","",YEAR(A264))</f>
        <v/>
      </c>
      <c r="D264" s="24">
        <f>IF(A264="","",IF(OR(E264="Nomina",E264="Trading/Payout",E264="Otro ingreso"),"Ingreso","Gasto"))</f>
        <v/>
      </c>
    </row>
    <row r="265">
      <c r="B265" s="23">
        <f>IF(A265="","",TEXT(A265,"MMMM"))</f>
        <v/>
      </c>
      <c r="C265" s="23">
        <f>IF(A265="","",YEAR(A265))</f>
        <v/>
      </c>
      <c r="D265" s="23">
        <f>IF(A265="","",IF(OR(E265="Nomina",E265="Trading/Payout",E265="Otro ingreso"),"Ingreso","Gasto"))</f>
        <v/>
      </c>
    </row>
    <row r="266">
      <c r="B266" s="24">
        <f>IF(A266="","",TEXT(A266,"MMMM"))</f>
        <v/>
      </c>
      <c r="C266" s="24">
        <f>IF(A266="","",YEAR(A266))</f>
        <v/>
      </c>
      <c r="D266" s="24">
        <f>IF(A266="","",IF(OR(E266="Nomina",E266="Trading/Payout",E266="Otro ingreso"),"Ingreso","Gasto"))</f>
        <v/>
      </c>
    </row>
    <row r="267">
      <c r="B267" s="23">
        <f>IF(A267="","",TEXT(A267,"MMMM"))</f>
        <v/>
      </c>
      <c r="C267" s="23">
        <f>IF(A267="","",YEAR(A267))</f>
        <v/>
      </c>
      <c r="D267" s="23">
        <f>IF(A267="","",IF(OR(E267="Nomina",E267="Trading/Payout",E267="Otro ingreso"),"Ingreso","Gasto"))</f>
        <v/>
      </c>
    </row>
    <row r="268">
      <c r="B268" s="24">
        <f>IF(A268="","",TEXT(A268,"MMMM"))</f>
        <v/>
      </c>
      <c r="C268" s="24">
        <f>IF(A268="","",YEAR(A268))</f>
        <v/>
      </c>
      <c r="D268" s="24">
        <f>IF(A268="","",IF(OR(E268="Nomina",E268="Trading/Payout",E268="Otro ingreso"),"Ingreso","Gasto"))</f>
        <v/>
      </c>
    </row>
    <row r="269">
      <c r="B269" s="23">
        <f>IF(A269="","",TEXT(A269,"MMMM"))</f>
        <v/>
      </c>
      <c r="C269" s="23">
        <f>IF(A269="","",YEAR(A269))</f>
        <v/>
      </c>
      <c r="D269" s="23">
        <f>IF(A269="","",IF(OR(E269="Nomina",E269="Trading/Payout",E269="Otro ingreso"),"Ingreso","Gasto"))</f>
        <v/>
      </c>
    </row>
    <row r="270">
      <c r="B270" s="24">
        <f>IF(A270="","",TEXT(A270,"MMMM"))</f>
        <v/>
      </c>
      <c r="C270" s="24">
        <f>IF(A270="","",YEAR(A270))</f>
        <v/>
      </c>
      <c r="D270" s="24">
        <f>IF(A270="","",IF(OR(E270="Nomina",E270="Trading/Payout",E270="Otro ingreso"),"Ingreso","Gasto"))</f>
        <v/>
      </c>
    </row>
    <row r="271">
      <c r="B271" s="23">
        <f>IF(A271="","",TEXT(A271,"MMMM"))</f>
        <v/>
      </c>
      <c r="C271" s="23">
        <f>IF(A271="","",YEAR(A271))</f>
        <v/>
      </c>
      <c r="D271" s="23">
        <f>IF(A271="","",IF(OR(E271="Nomina",E271="Trading/Payout",E271="Otro ingreso"),"Ingreso","Gasto"))</f>
        <v/>
      </c>
    </row>
    <row r="272">
      <c r="B272" s="24">
        <f>IF(A272="","",TEXT(A272,"MMMM"))</f>
        <v/>
      </c>
      <c r="C272" s="24">
        <f>IF(A272="","",YEAR(A272))</f>
        <v/>
      </c>
      <c r="D272" s="24">
        <f>IF(A272="","",IF(OR(E272="Nomina",E272="Trading/Payout",E272="Otro ingreso"),"Ingreso","Gasto"))</f>
        <v/>
      </c>
    </row>
    <row r="273">
      <c r="B273" s="23">
        <f>IF(A273="","",TEXT(A273,"MMMM"))</f>
        <v/>
      </c>
      <c r="C273" s="23">
        <f>IF(A273="","",YEAR(A273))</f>
        <v/>
      </c>
      <c r="D273" s="23">
        <f>IF(A273="","",IF(OR(E273="Nomina",E273="Trading/Payout",E273="Otro ingreso"),"Ingreso","Gasto"))</f>
        <v/>
      </c>
    </row>
    <row r="274">
      <c r="B274" s="24">
        <f>IF(A274="","",TEXT(A274,"MMMM"))</f>
        <v/>
      </c>
      <c r="C274" s="24">
        <f>IF(A274="","",YEAR(A274))</f>
        <v/>
      </c>
      <c r="D274" s="24">
        <f>IF(A274="","",IF(OR(E274="Nomina",E274="Trading/Payout",E274="Otro ingreso"),"Ingreso","Gasto"))</f>
        <v/>
      </c>
    </row>
    <row r="275">
      <c r="B275" s="23">
        <f>IF(A275="","",TEXT(A275,"MMMM"))</f>
        <v/>
      </c>
      <c r="C275" s="23">
        <f>IF(A275="","",YEAR(A275))</f>
        <v/>
      </c>
      <c r="D275" s="23">
        <f>IF(A275="","",IF(OR(E275="Nomina",E275="Trading/Payout",E275="Otro ingreso"),"Ingreso","Gasto"))</f>
        <v/>
      </c>
    </row>
    <row r="276">
      <c r="B276" s="24">
        <f>IF(A276="","",TEXT(A276,"MMMM"))</f>
        <v/>
      </c>
      <c r="C276" s="24">
        <f>IF(A276="","",YEAR(A276))</f>
        <v/>
      </c>
      <c r="D276" s="24">
        <f>IF(A276="","",IF(OR(E276="Nomina",E276="Trading/Payout",E276="Otro ingreso"),"Ingreso","Gasto"))</f>
        <v/>
      </c>
    </row>
    <row r="277">
      <c r="B277" s="23">
        <f>IF(A277="","",TEXT(A277,"MMMM"))</f>
        <v/>
      </c>
      <c r="C277" s="23">
        <f>IF(A277="","",YEAR(A277))</f>
        <v/>
      </c>
      <c r="D277" s="23">
        <f>IF(A277="","",IF(OR(E277="Nomina",E277="Trading/Payout",E277="Otro ingreso"),"Ingreso","Gasto"))</f>
        <v/>
      </c>
    </row>
    <row r="278">
      <c r="B278" s="24">
        <f>IF(A278="","",TEXT(A278,"MMMM"))</f>
        <v/>
      </c>
      <c r="C278" s="24">
        <f>IF(A278="","",YEAR(A278))</f>
        <v/>
      </c>
      <c r="D278" s="24">
        <f>IF(A278="","",IF(OR(E278="Nomina",E278="Trading/Payout",E278="Otro ingreso"),"Ingreso","Gasto"))</f>
        <v/>
      </c>
    </row>
    <row r="279">
      <c r="B279" s="23">
        <f>IF(A279="","",TEXT(A279,"MMMM"))</f>
        <v/>
      </c>
      <c r="C279" s="23">
        <f>IF(A279="","",YEAR(A279))</f>
        <v/>
      </c>
      <c r="D279" s="23">
        <f>IF(A279="","",IF(OR(E279="Nomina",E279="Trading/Payout",E279="Otro ingreso"),"Ingreso","Gasto"))</f>
        <v/>
      </c>
    </row>
    <row r="280">
      <c r="B280" s="24">
        <f>IF(A280="","",TEXT(A280,"MMMM"))</f>
        <v/>
      </c>
      <c r="C280" s="24">
        <f>IF(A280="","",YEAR(A280))</f>
        <v/>
      </c>
      <c r="D280" s="24">
        <f>IF(A280="","",IF(OR(E280="Nomina",E280="Trading/Payout",E280="Otro ingreso"),"Ingreso","Gasto"))</f>
        <v/>
      </c>
    </row>
    <row r="281">
      <c r="B281" s="23">
        <f>IF(A281="","",TEXT(A281,"MMMM"))</f>
        <v/>
      </c>
      <c r="C281" s="23">
        <f>IF(A281="","",YEAR(A281))</f>
        <v/>
      </c>
      <c r="D281" s="23">
        <f>IF(A281="","",IF(OR(E281="Nomina",E281="Trading/Payout",E281="Otro ingreso"),"Ingreso","Gasto"))</f>
        <v/>
      </c>
    </row>
    <row r="282">
      <c r="B282" s="24">
        <f>IF(A282="","",TEXT(A282,"MMMM"))</f>
        <v/>
      </c>
      <c r="C282" s="24">
        <f>IF(A282="","",YEAR(A282))</f>
        <v/>
      </c>
      <c r="D282" s="24">
        <f>IF(A282="","",IF(OR(E282="Nomina",E282="Trading/Payout",E282="Otro ingreso"),"Ingreso","Gasto"))</f>
        <v/>
      </c>
    </row>
    <row r="283">
      <c r="B283" s="23">
        <f>IF(A283="","",TEXT(A283,"MMMM"))</f>
        <v/>
      </c>
      <c r="C283" s="23">
        <f>IF(A283="","",YEAR(A283))</f>
        <v/>
      </c>
      <c r="D283" s="23">
        <f>IF(A283="","",IF(OR(E283="Nomina",E283="Trading/Payout",E283="Otro ingreso"),"Ingreso","Gasto"))</f>
        <v/>
      </c>
    </row>
    <row r="284">
      <c r="B284" s="24">
        <f>IF(A284="","",TEXT(A284,"MMMM"))</f>
        <v/>
      </c>
      <c r="C284" s="24">
        <f>IF(A284="","",YEAR(A284))</f>
        <v/>
      </c>
      <c r="D284" s="24">
        <f>IF(A284="","",IF(OR(E284="Nomina",E284="Trading/Payout",E284="Otro ingreso"),"Ingreso","Gasto"))</f>
        <v/>
      </c>
    </row>
    <row r="285">
      <c r="B285" s="23">
        <f>IF(A285="","",TEXT(A285,"MMMM"))</f>
        <v/>
      </c>
      <c r="C285" s="23">
        <f>IF(A285="","",YEAR(A285))</f>
        <v/>
      </c>
      <c r="D285" s="23">
        <f>IF(A285="","",IF(OR(E285="Nomina",E285="Trading/Payout",E285="Otro ingreso"),"Ingreso","Gasto"))</f>
        <v/>
      </c>
    </row>
    <row r="286">
      <c r="B286" s="24">
        <f>IF(A286="","",TEXT(A286,"MMMM"))</f>
        <v/>
      </c>
      <c r="C286" s="24">
        <f>IF(A286="","",YEAR(A286))</f>
        <v/>
      </c>
      <c r="D286" s="24">
        <f>IF(A286="","",IF(OR(E286="Nomina",E286="Trading/Payout",E286="Otro ingreso"),"Ingreso","Gasto"))</f>
        <v/>
      </c>
    </row>
    <row r="287">
      <c r="B287" s="23">
        <f>IF(A287="","",TEXT(A287,"MMMM"))</f>
        <v/>
      </c>
      <c r="C287" s="23">
        <f>IF(A287="","",YEAR(A287))</f>
        <v/>
      </c>
      <c r="D287" s="23">
        <f>IF(A287="","",IF(OR(E287="Nomina",E287="Trading/Payout",E287="Otro ingreso"),"Ingreso","Gasto"))</f>
        <v/>
      </c>
    </row>
    <row r="288">
      <c r="B288" s="24">
        <f>IF(A288="","",TEXT(A288,"MMMM"))</f>
        <v/>
      </c>
      <c r="C288" s="24">
        <f>IF(A288="","",YEAR(A288))</f>
        <v/>
      </c>
      <c r="D288" s="24">
        <f>IF(A288="","",IF(OR(E288="Nomina",E288="Trading/Payout",E288="Otro ingreso"),"Ingreso","Gasto"))</f>
        <v/>
      </c>
    </row>
    <row r="289">
      <c r="B289" s="23">
        <f>IF(A289="","",TEXT(A289,"MMMM"))</f>
        <v/>
      </c>
      <c r="C289" s="23">
        <f>IF(A289="","",YEAR(A289))</f>
        <v/>
      </c>
      <c r="D289" s="23">
        <f>IF(A289="","",IF(OR(E289="Nomina",E289="Trading/Payout",E289="Otro ingreso"),"Ingreso","Gasto"))</f>
        <v/>
      </c>
    </row>
    <row r="290">
      <c r="B290" s="24">
        <f>IF(A290="","",TEXT(A290,"MMMM"))</f>
        <v/>
      </c>
      <c r="C290" s="24">
        <f>IF(A290="","",YEAR(A290))</f>
        <v/>
      </c>
      <c r="D290" s="24">
        <f>IF(A290="","",IF(OR(E290="Nomina",E290="Trading/Payout",E290="Otro ingreso"),"Ingreso","Gasto"))</f>
        <v/>
      </c>
    </row>
    <row r="291">
      <c r="B291" s="23">
        <f>IF(A291="","",TEXT(A291,"MMMM"))</f>
        <v/>
      </c>
      <c r="C291" s="23">
        <f>IF(A291="","",YEAR(A291))</f>
        <v/>
      </c>
      <c r="D291" s="23">
        <f>IF(A291="","",IF(OR(E291="Nomina",E291="Trading/Payout",E291="Otro ingreso"),"Ingreso","Gasto"))</f>
        <v/>
      </c>
    </row>
    <row r="292">
      <c r="B292" s="24">
        <f>IF(A292="","",TEXT(A292,"MMMM"))</f>
        <v/>
      </c>
      <c r="C292" s="24">
        <f>IF(A292="","",YEAR(A292))</f>
        <v/>
      </c>
      <c r="D292" s="24">
        <f>IF(A292="","",IF(OR(E292="Nomina",E292="Trading/Payout",E292="Otro ingreso"),"Ingreso","Gasto"))</f>
        <v/>
      </c>
    </row>
    <row r="293">
      <c r="B293" s="23">
        <f>IF(A293="","",TEXT(A293,"MMMM"))</f>
        <v/>
      </c>
      <c r="C293" s="23">
        <f>IF(A293="","",YEAR(A293))</f>
        <v/>
      </c>
      <c r="D293" s="23">
        <f>IF(A293="","",IF(OR(E293="Nomina",E293="Trading/Payout",E293="Otro ingreso"),"Ingreso","Gasto"))</f>
        <v/>
      </c>
    </row>
    <row r="294">
      <c r="B294" s="24">
        <f>IF(A294="","",TEXT(A294,"MMMM"))</f>
        <v/>
      </c>
      <c r="C294" s="24">
        <f>IF(A294="","",YEAR(A294))</f>
        <v/>
      </c>
      <c r="D294" s="24">
        <f>IF(A294="","",IF(OR(E294="Nomina",E294="Trading/Payout",E294="Otro ingreso"),"Ingreso","Gasto"))</f>
        <v/>
      </c>
    </row>
    <row r="295">
      <c r="B295" s="23">
        <f>IF(A295="","",TEXT(A295,"MMMM"))</f>
        <v/>
      </c>
      <c r="C295" s="23">
        <f>IF(A295="","",YEAR(A295))</f>
        <v/>
      </c>
      <c r="D295" s="23">
        <f>IF(A295="","",IF(OR(E295="Nomina",E295="Trading/Payout",E295="Otro ingreso"),"Ingreso","Gasto"))</f>
        <v/>
      </c>
    </row>
    <row r="296">
      <c r="B296" s="24">
        <f>IF(A296="","",TEXT(A296,"MMMM"))</f>
        <v/>
      </c>
      <c r="C296" s="24">
        <f>IF(A296="","",YEAR(A296))</f>
        <v/>
      </c>
      <c r="D296" s="24">
        <f>IF(A296="","",IF(OR(E296="Nomina",E296="Trading/Payout",E296="Otro ingreso"),"Ingreso","Gasto"))</f>
        <v/>
      </c>
    </row>
    <row r="297">
      <c r="B297" s="23">
        <f>IF(A297="","",TEXT(A297,"MMMM"))</f>
        <v/>
      </c>
      <c r="C297" s="23">
        <f>IF(A297="","",YEAR(A297))</f>
        <v/>
      </c>
      <c r="D297" s="23">
        <f>IF(A297="","",IF(OR(E297="Nomina",E297="Trading/Payout",E297="Otro ingreso"),"Ingreso","Gasto"))</f>
        <v/>
      </c>
    </row>
    <row r="298">
      <c r="B298" s="24">
        <f>IF(A298="","",TEXT(A298,"MMMM"))</f>
        <v/>
      </c>
      <c r="C298" s="24">
        <f>IF(A298="","",YEAR(A298))</f>
        <v/>
      </c>
      <c r="D298" s="24">
        <f>IF(A298="","",IF(OR(E298="Nomina",E298="Trading/Payout",E298="Otro ingreso"),"Ingreso","Gasto"))</f>
        <v/>
      </c>
    </row>
    <row r="299">
      <c r="B299" s="23">
        <f>IF(A299="","",TEXT(A299,"MMMM"))</f>
        <v/>
      </c>
      <c r="C299" s="23">
        <f>IF(A299="","",YEAR(A299))</f>
        <v/>
      </c>
      <c r="D299" s="23">
        <f>IF(A299="","",IF(OR(E299="Nomina",E299="Trading/Payout",E299="Otro ingreso"),"Ingreso","Gasto"))</f>
        <v/>
      </c>
    </row>
    <row r="300">
      <c r="B300" s="24">
        <f>IF(A300="","",TEXT(A300,"MMMM"))</f>
        <v/>
      </c>
      <c r="C300" s="24">
        <f>IF(A300="","",YEAR(A300))</f>
        <v/>
      </c>
      <c r="D300" s="24">
        <f>IF(A300="","",IF(OR(E300="Nomina",E300="Trading/Payout",E300="Otro ingreso"),"Ingreso","Gasto"))</f>
        <v/>
      </c>
    </row>
    <row r="301">
      <c r="B301" s="23">
        <f>IF(A301="","",TEXT(A301,"MMMM"))</f>
        <v/>
      </c>
      <c r="C301" s="23">
        <f>IF(A301="","",YEAR(A301))</f>
        <v/>
      </c>
      <c r="D301" s="23">
        <f>IF(A301="","",IF(OR(E301="Nomina",E301="Trading/Payout",E301="Otro ingreso"),"Ingreso","Gasto"))</f>
        <v/>
      </c>
    </row>
    <row r="302">
      <c r="B302" s="24">
        <f>IF(A302="","",TEXT(A302,"MMMM"))</f>
        <v/>
      </c>
      <c r="C302" s="24">
        <f>IF(A302="","",YEAR(A302))</f>
        <v/>
      </c>
      <c r="D302" s="24">
        <f>IF(A302="","",IF(OR(E302="Nomina",E302="Trading/Payout",E302="Otro ingreso"),"Ingreso","Gasto"))</f>
        <v/>
      </c>
    </row>
    <row r="303">
      <c r="B303" s="23">
        <f>IF(A303="","",TEXT(A303,"MMMM"))</f>
        <v/>
      </c>
      <c r="C303" s="23">
        <f>IF(A303="","",YEAR(A303))</f>
        <v/>
      </c>
      <c r="D303" s="23">
        <f>IF(A303="","",IF(OR(E303="Nomina",E303="Trading/Payout",E303="Otro ingreso"),"Ingreso","Gasto"))</f>
        <v/>
      </c>
    </row>
    <row r="304">
      <c r="B304" s="24">
        <f>IF(A304="","",TEXT(A304,"MMMM"))</f>
        <v/>
      </c>
      <c r="C304" s="24">
        <f>IF(A304="","",YEAR(A304))</f>
        <v/>
      </c>
      <c r="D304" s="24">
        <f>IF(A304="","",IF(OR(E304="Nomina",E304="Trading/Payout",E304="Otro ingreso"),"Ingreso","Gasto"))</f>
        <v/>
      </c>
    </row>
    <row r="305">
      <c r="B305" s="23">
        <f>IF(A305="","",TEXT(A305,"MMMM"))</f>
        <v/>
      </c>
      <c r="C305" s="23">
        <f>IF(A305="","",YEAR(A305))</f>
        <v/>
      </c>
      <c r="D305" s="23">
        <f>IF(A305="","",IF(OR(E305="Nomina",E305="Trading/Payout",E305="Otro ingreso"),"Ingreso","Gasto"))</f>
        <v/>
      </c>
    </row>
    <row r="306">
      <c r="B306" s="24">
        <f>IF(A306="","",TEXT(A306,"MMMM"))</f>
        <v/>
      </c>
      <c r="C306" s="24">
        <f>IF(A306="","",YEAR(A306))</f>
        <v/>
      </c>
      <c r="D306" s="24">
        <f>IF(A306="","",IF(OR(E306="Nomina",E306="Trading/Payout",E306="Otro ingreso"),"Ingreso","Gasto"))</f>
        <v/>
      </c>
    </row>
    <row r="307">
      <c r="B307" s="23">
        <f>IF(A307="","",TEXT(A307,"MMMM"))</f>
        <v/>
      </c>
      <c r="C307" s="23">
        <f>IF(A307="","",YEAR(A307))</f>
        <v/>
      </c>
      <c r="D307" s="23">
        <f>IF(A307="","",IF(OR(E307="Nomina",E307="Trading/Payout",E307="Otro ingreso"),"Ingreso","Gasto"))</f>
        <v/>
      </c>
    </row>
    <row r="308">
      <c r="B308" s="24">
        <f>IF(A308="","",TEXT(A308,"MMMM"))</f>
        <v/>
      </c>
      <c r="C308" s="24">
        <f>IF(A308="","",YEAR(A308))</f>
        <v/>
      </c>
      <c r="D308" s="24">
        <f>IF(A308="","",IF(OR(E308="Nomina",E308="Trading/Payout",E308="Otro ingreso"),"Ingreso","Gasto"))</f>
        <v/>
      </c>
    </row>
    <row r="309">
      <c r="B309" s="23">
        <f>IF(A309="","",TEXT(A309,"MMMM"))</f>
        <v/>
      </c>
      <c r="C309" s="23">
        <f>IF(A309="","",YEAR(A309))</f>
        <v/>
      </c>
      <c r="D309" s="23">
        <f>IF(A309="","",IF(OR(E309="Nomina",E309="Trading/Payout",E309="Otro ingreso"),"Ingreso","Gasto"))</f>
        <v/>
      </c>
    </row>
    <row r="310">
      <c r="B310" s="24">
        <f>IF(A310="","",TEXT(A310,"MMMM"))</f>
        <v/>
      </c>
      <c r="C310" s="24">
        <f>IF(A310="","",YEAR(A310))</f>
        <v/>
      </c>
      <c r="D310" s="24">
        <f>IF(A310="","",IF(OR(E310="Nomina",E310="Trading/Payout",E310="Otro ingreso"),"Ingreso","Gasto"))</f>
        <v/>
      </c>
    </row>
    <row r="311">
      <c r="B311" s="23">
        <f>IF(A311="","",TEXT(A311,"MMMM"))</f>
        <v/>
      </c>
      <c r="C311" s="23">
        <f>IF(A311="","",YEAR(A311))</f>
        <v/>
      </c>
      <c r="D311" s="23">
        <f>IF(A311="","",IF(OR(E311="Nomina",E311="Trading/Payout",E311="Otro ingreso"),"Ingreso","Gasto"))</f>
        <v/>
      </c>
    </row>
    <row r="312">
      <c r="B312" s="24">
        <f>IF(A312="","",TEXT(A312,"MMMM"))</f>
        <v/>
      </c>
      <c r="C312" s="24">
        <f>IF(A312="","",YEAR(A312))</f>
        <v/>
      </c>
      <c r="D312" s="24">
        <f>IF(A312="","",IF(OR(E312="Nomina",E312="Trading/Payout",E312="Otro ingreso"),"Ingreso","Gasto"))</f>
        <v/>
      </c>
    </row>
    <row r="313">
      <c r="B313" s="23">
        <f>IF(A313="","",TEXT(A313,"MMMM"))</f>
        <v/>
      </c>
      <c r="C313" s="23">
        <f>IF(A313="","",YEAR(A313))</f>
        <v/>
      </c>
      <c r="D313" s="23">
        <f>IF(A313="","",IF(OR(E313="Nomina",E313="Trading/Payout",E313="Otro ingreso"),"Ingreso","Gasto"))</f>
        <v/>
      </c>
    </row>
    <row r="314">
      <c r="B314" s="24">
        <f>IF(A314="","",TEXT(A314,"MMMM"))</f>
        <v/>
      </c>
      <c r="C314" s="24">
        <f>IF(A314="","",YEAR(A314))</f>
        <v/>
      </c>
      <c r="D314" s="24">
        <f>IF(A314="","",IF(OR(E314="Nomina",E314="Trading/Payout",E314="Otro ingreso"),"Ingreso","Gasto"))</f>
        <v/>
      </c>
    </row>
    <row r="315">
      <c r="B315" s="23">
        <f>IF(A315="","",TEXT(A315,"MMMM"))</f>
        <v/>
      </c>
      <c r="C315" s="23">
        <f>IF(A315="","",YEAR(A315))</f>
        <v/>
      </c>
      <c r="D315" s="23">
        <f>IF(A315="","",IF(OR(E315="Nomina",E315="Trading/Payout",E315="Otro ingreso"),"Ingreso","Gasto"))</f>
        <v/>
      </c>
    </row>
    <row r="316">
      <c r="B316" s="24">
        <f>IF(A316="","",TEXT(A316,"MMMM"))</f>
        <v/>
      </c>
      <c r="C316" s="24">
        <f>IF(A316="","",YEAR(A316))</f>
        <v/>
      </c>
      <c r="D316" s="24">
        <f>IF(A316="","",IF(OR(E316="Nomina",E316="Trading/Payout",E316="Otro ingreso"),"Ingreso","Gasto"))</f>
        <v/>
      </c>
    </row>
    <row r="317">
      <c r="B317" s="23">
        <f>IF(A317="","",TEXT(A317,"MMMM"))</f>
        <v/>
      </c>
      <c r="C317" s="23">
        <f>IF(A317="","",YEAR(A317))</f>
        <v/>
      </c>
      <c r="D317" s="23">
        <f>IF(A317="","",IF(OR(E317="Nomina",E317="Trading/Payout",E317="Otro ingreso"),"Ingreso","Gasto"))</f>
        <v/>
      </c>
    </row>
    <row r="318">
      <c r="B318" s="24">
        <f>IF(A318="","",TEXT(A318,"MMMM"))</f>
        <v/>
      </c>
      <c r="C318" s="24">
        <f>IF(A318="","",YEAR(A318))</f>
        <v/>
      </c>
      <c r="D318" s="24">
        <f>IF(A318="","",IF(OR(E318="Nomina",E318="Trading/Payout",E318="Otro ingreso"),"Ingreso","Gasto"))</f>
        <v/>
      </c>
    </row>
    <row r="319">
      <c r="B319" s="23">
        <f>IF(A319="","",TEXT(A319,"MMMM"))</f>
        <v/>
      </c>
      <c r="C319" s="23">
        <f>IF(A319="","",YEAR(A319))</f>
        <v/>
      </c>
      <c r="D319" s="23">
        <f>IF(A319="","",IF(OR(E319="Nomina",E319="Trading/Payout",E319="Otro ingreso"),"Ingreso","Gasto"))</f>
        <v/>
      </c>
    </row>
    <row r="320">
      <c r="B320" s="24">
        <f>IF(A320="","",TEXT(A320,"MMMM"))</f>
        <v/>
      </c>
      <c r="C320" s="24">
        <f>IF(A320="","",YEAR(A320))</f>
        <v/>
      </c>
      <c r="D320" s="24">
        <f>IF(A320="","",IF(OR(E320="Nomina",E320="Trading/Payout",E320="Otro ingreso"),"Ingreso","Gasto"))</f>
        <v/>
      </c>
    </row>
    <row r="321">
      <c r="B321" s="23">
        <f>IF(A321="","",TEXT(A321,"MMMM"))</f>
        <v/>
      </c>
      <c r="C321" s="23">
        <f>IF(A321="","",YEAR(A321))</f>
        <v/>
      </c>
      <c r="D321" s="23">
        <f>IF(A321="","",IF(OR(E321="Nomina",E321="Trading/Payout",E321="Otro ingreso"),"Ingreso","Gasto"))</f>
        <v/>
      </c>
    </row>
    <row r="322">
      <c r="B322" s="24">
        <f>IF(A322="","",TEXT(A322,"MMMM"))</f>
        <v/>
      </c>
      <c r="C322" s="24">
        <f>IF(A322="","",YEAR(A322))</f>
        <v/>
      </c>
      <c r="D322" s="24">
        <f>IF(A322="","",IF(OR(E322="Nomina",E322="Trading/Payout",E322="Otro ingreso"),"Ingreso","Gasto"))</f>
        <v/>
      </c>
    </row>
    <row r="323">
      <c r="B323" s="23">
        <f>IF(A323="","",TEXT(A323,"MMMM"))</f>
        <v/>
      </c>
      <c r="C323" s="23">
        <f>IF(A323="","",YEAR(A323))</f>
        <v/>
      </c>
      <c r="D323" s="23">
        <f>IF(A323="","",IF(OR(E323="Nomina",E323="Trading/Payout",E323="Otro ingreso"),"Ingreso","Gasto"))</f>
        <v/>
      </c>
    </row>
    <row r="324">
      <c r="B324" s="24">
        <f>IF(A324="","",TEXT(A324,"MMMM"))</f>
        <v/>
      </c>
      <c r="C324" s="24">
        <f>IF(A324="","",YEAR(A324))</f>
        <v/>
      </c>
      <c r="D324" s="24">
        <f>IF(A324="","",IF(OR(E324="Nomina",E324="Trading/Payout",E324="Otro ingreso"),"Ingreso","Gasto"))</f>
        <v/>
      </c>
    </row>
    <row r="325">
      <c r="B325" s="23">
        <f>IF(A325="","",TEXT(A325,"MMMM"))</f>
        <v/>
      </c>
      <c r="C325" s="23">
        <f>IF(A325="","",YEAR(A325))</f>
        <v/>
      </c>
      <c r="D325" s="23">
        <f>IF(A325="","",IF(OR(E325="Nomina",E325="Trading/Payout",E325="Otro ingreso"),"Ingreso","Gasto"))</f>
        <v/>
      </c>
    </row>
    <row r="326">
      <c r="B326" s="24">
        <f>IF(A326="","",TEXT(A326,"MMMM"))</f>
        <v/>
      </c>
      <c r="C326" s="24">
        <f>IF(A326="","",YEAR(A326))</f>
        <v/>
      </c>
      <c r="D326" s="24">
        <f>IF(A326="","",IF(OR(E326="Nomina",E326="Trading/Payout",E326="Otro ingreso"),"Ingreso","Gasto"))</f>
        <v/>
      </c>
    </row>
    <row r="327">
      <c r="B327" s="23">
        <f>IF(A327="","",TEXT(A327,"MMMM"))</f>
        <v/>
      </c>
      <c r="C327" s="23">
        <f>IF(A327="","",YEAR(A327))</f>
        <v/>
      </c>
      <c r="D327" s="23">
        <f>IF(A327="","",IF(OR(E327="Nomina",E327="Trading/Payout",E327="Otro ingreso"),"Ingreso","Gasto"))</f>
        <v/>
      </c>
    </row>
    <row r="328">
      <c r="B328" s="24">
        <f>IF(A328="","",TEXT(A328,"MMMM"))</f>
        <v/>
      </c>
      <c r="C328" s="24">
        <f>IF(A328="","",YEAR(A328))</f>
        <v/>
      </c>
      <c r="D328" s="24">
        <f>IF(A328="","",IF(OR(E328="Nomina",E328="Trading/Payout",E328="Otro ingreso"),"Ingreso","Gasto"))</f>
        <v/>
      </c>
    </row>
    <row r="329">
      <c r="B329" s="23">
        <f>IF(A329="","",TEXT(A329,"MMMM"))</f>
        <v/>
      </c>
      <c r="C329" s="23">
        <f>IF(A329="","",YEAR(A329))</f>
        <v/>
      </c>
      <c r="D329" s="23">
        <f>IF(A329="","",IF(OR(E329="Nomina",E329="Trading/Payout",E329="Otro ingreso"),"Ingreso","Gasto"))</f>
        <v/>
      </c>
    </row>
    <row r="330">
      <c r="B330" s="24">
        <f>IF(A330="","",TEXT(A330,"MMMM"))</f>
        <v/>
      </c>
      <c r="C330" s="24">
        <f>IF(A330="","",YEAR(A330))</f>
        <v/>
      </c>
      <c r="D330" s="24">
        <f>IF(A330="","",IF(OR(E330="Nomina",E330="Trading/Payout",E330="Otro ingreso"),"Ingreso","Gasto"))</f>
        <v/>
      </c>
    </row>
    <row r="331">
      <c r="B331" s="23">
        <f>IF(A331="","",TEXT(A331,"MMMM"))</f>
        <v/>
      </c>
      <c r="C331" s="23">
        <f>IF(A331="","",YEAR(A331))</f>
        <v/>
      </c>
      <c r="D331" s="23">
        <f>IF(A331="","",IF(OR(E331="Nomina",E331="Trading/Payout",E331="Otro ingreso"),"Ingreso","Gasto"))</f>
        <v/>
      </c>
    </row>
    <row r="332">
      <c r="B332" s="24">
        <f>IF(A332="","",TEXT(A332,"MMMM"))</f>
        <v/>
      </c>
      <c r="C332" s="24">
        <f>IF(A332="","",YEAR(A332))</f>
        <v/>
      </c>
      <c r="D332" s="24">
        <f>IF(A332="","",IF(OR(E332="Nomina",E332="Trading/Payout",E332="Otro ingreso"),"Ingreso","Gasto"))</f>
        <v/>
      </c>
    </row>
    <row r="333">
      <c r="B333" s="23">
        <f>IF(A333="","",TEXT(A333,"MMMM"))</f>
        <v/>
      </c>
      <c r="C333" s="23">
        <f>IF(A333="","",YEAR(A333))</f>
        <v/>
      </c>
      <c r="D333" s="23">
        <f>IF(A333="","",IF(OR(E333="Nomina",E333="Trading/Payout",E333="Otro ingreso"),"Ingreso","Gasto"))</f>
        <v/>
      </c>
    </row>
    <row r="334">
      <c r="B334" s="24">
        <f>IF(A334="","",TEXT(A334,"MMMM"))</f>
        <v/>
      </c>
      <c r="C334" s="24">
        <f>IF(A334="","",YEAR(A334))</f>
        <v/>
      </c>
      <c r="D334" s="24">
        <f>IF(A334="","",IF(OR(E334="Nomina",E334="Trading/Payout",E334="Otro ingreso"),"Ingreso","Gasto"))</f>
        <v/>
      </c>
    </row>
    <row r="335">
      <c r="B335" s="23">
        <f>IF(A335="","",TEXT(A335,"MMMM"))</f>
        <v/>
      </c>
      <c r="C335" s="23">
        <f>IF(A335="","",YEAR(A335))</f>
        <v/>
      </c>
      <c r="D335" s="23">
        <f>IF(A335="","",IF(OR(E335="Nomina",E335="Trading/Payout",E335="Otro ingreso"),"Ingreso","Gasto"))</f>
        <v/>
      </c>
    </row>
    <row r="336">
      <c r="B336" s="24">
        <f>IF(A336="","",TEXT(A336,"MMMM"))</f>
        <v/>
      </c>
      <c r="C336" s="24">
        <f>IF(A336="","",YEAR(A336))</f>
        <v/>
      </c>
      <c r="D336" s="24">
        <f>IF(A336="","",IF(OR(E336="Nomina",E336="Trading/Payout",E336="Otro ingreso"),"Ingreso","Gasto"))</f>
        <v/>
      </c>
    </row>
    <row r="337">
      <c r="B337" s="23">
        <f>IF(A337="","",TEXT(A337,"MMMM"))</f>
        <v/>
      </c>
      <c r="C337" s="23">
        <f>IF(A337="","",YEAR(A337))</f>
        <v/>
      </c>
      <c r="D337" s="23">
        <f>IF(A337="","",IF(OR(E337="Nomina",E337="Trading/Payout",E337="Otro ingreso"),"Ingreso","Gasto"))</f>
        <v/>
      </c>
    </row>
    <row r="338">
      <c r="B338" s="24">
        <f>IF(A338="","",TEXT(A338,"MMMM"))</f>
        <v/>
      </c>
      <c r="C338" s="24">
        <f>IF(A338="","",YEAR(A338))</f>
        <v/>
      </c>
      <c r="D338" s="24">
        <f>IF(A338="","",IF(OR(E338="Nomina",E338="Trading/Payout",E338="Otro ingreso"),"Ingreso","Gasto"))</f>
        <v/>
      </c>
    </row>
    <row r="339">
      <c r="B339" s="23">
        <f>IF(A339="","",TEXT(A339,"MMMM"))</f>
        <v/>
      </c>
      <c r="C339" s="23">
        <f>IF(A339="","",YEAR(A339))</f>
        <v/>
      </c>
      <c r="D339" s="23">
        <f>IF(A339="","",IF(OR(E339="Nomina",E339="Trading/Payout",E339="Otro ingreso"),"Ingreso","Gasto"))</f>
        <v/>
      </c>
    </row>
    <row r="340">
      <c r="B340" s="24">
        <f>IF(A340="","",TEXT(A340,"MMMM"))</f>
        <v/>
      </c>
      <c r="C340" s="24">
        <f>IF(A340="","",YEAR(A340))</f>
        <v/>
      </c>
      <c r="D340" s="24">
        <f>IF(A340="","",IF(OR(E340="Nomina",E340="Trading/Payout",E340="Otro ingreso"),"Ingreso","Gasto"))</f>
        <v/>
      </c>
    </row>
    <row r="341">
      <c r="B341" s="23">
        <f>IF(A341="","",TEXT(A341,"MMMM"))</f>
        <v/>
      </c>
      <c r="C341" s="23">
        <f>IF(A341="","",YEAR(A341))</f>
        <v/>
      </c>
      <c r="D341" s="23">
        <f>IF(A341="","",IF(OR(E341="Nomina",E341="Trading/Payout",E341="Otro ingreso"),"Ingreso","Gasto"))</f>
        <v/>
      </c>
    </row>
    <row r="342">
      <c r="B342" s="24">
        <f>IF(A342="","",TEXT(A342,"MMMM"))</f>
        <v/>
      </c>
      <c r="C342" s="24">
        <f>IF(A342="","",YEAR(A342))</f>
        <v/>
      </c>
      <c r="D342" s="24">
        <f>IF(A342="","",IF(OR(E342="Nomina",E342="Trading/Payout",E342="Otro ingreso"),"Ingreso","Gasto"))</f>
        <v/>
      </c>
    </row>
    <row r="343">
      <c r="B343" s="23">
        <f>IF(A343="","",TEXT(A343,"MMMM"))</f>
        <v/>
      </c>
      <c r="C343" s="23">
        <f>IF(A343="","",YEAR(A343))</f>
        <v/>
      </c>
      <c r="D343" s="23">
        <f>IF(A343="","",IF(OR(E343="Nomina",E343="Trading/Payout",E343="Otro ingreso"),"Ingreso","Gasto"))</f>
        <v/>
      </c>
    </row>
    <row r="344">
      <c r="B344" s="24">
        <f>IF(A344="","",TEXT(A344,"MMMM"))</f>
        <v/>
      </c>
      <c r="C344" s="24">
        <f>IF(A344="","",YEAR(A344))</f>
        <v/>
      </c>
      <c r="D344" s="24">
        <f>IF(A344="","",IF(OR(E344="Nomina",E344="Trading/Payout",E344="Otro ingreso"),"Ingreso","Gasto"))</f>
        <v/>
      </c>
    </row>
    <row r="345">
      <c r="B345" s="23">
        <f>IF(A345="","",TEXT(A345,"MMMM"))</f>
        <v/>
      </c>
      <c r="C345" s="23">
        <f>IF(A345="","",YEAR(A345))</f>
        <v/>
      </c>
      <c r="D345" s="23">
        <f>IF(A345="","",IF(OR(E345="Nomina",E345="Trading/Payout",E345="Otro ingreso"),"Ingreso","Gasto"))</f>
        <v/>
      </c>
    </row>
    <row r="346">
      <c r="B346" s="24">
        <f>IF(A346="","",TEXT(A346,"MMMM"))</f>
        <v/>
      </c>
      <c r="C346" s="24">
        <f>IF(A346="","",YEAR(A346))</f>
        <v/>
      </c>
      <c r="D346" s="24">
        <f>IF(A346="","",IF(OR(E346="Nomina",E346="Trading/Payout",E346="Otro ingreso"),"Ingreso","Gasto"))</f>
        <v/>
      </c>
    </row>
    <row r="347">
      <c r="B347" s="23">
        <f>IF(A347="","",TEXT(A347,"MMMM"))</f>
        <v/>
      </c>
      <c r="C347" s="23">
        <f>IF(A347="","",YEAR(A347))</f>
        <v/>
      </c>
      <c r="D347" s="23">
        <f>IF(A347="","",IF(OR(E347="Nomina",E347="Trading/Payout",E347="Otro ingreso"),"Ingreso","Gasto"))</f>
        <v/>
      </c>
    </row>
    <row r="348">
      <c r="B348" s="24">
        <f>IF(A348="","",TEXT(A348,"MMMM"))</f>
        <v/>
      </c>
      <c r="C348" s="24">
        <f>IF(A348="","",YEAR(A348))</f>
        <v/>
      </c>
      <c r="D348" s="24">
        <f>IF(A348="","",IF(OR(E348="Nomina",E348="Trading/Payout",E348="Otro ingreso"),"Ingreso","Gasto"))</f>
        <v/>
      </c>
    </row>
    <row r="349">
      <c r="B349" s="23">
        <f>IF(A349="","",TEXT(A349,"MMMM"))</f>
        <v/>
      </c>
      <c r="C349" s="23">
        <f>IF(A349="","",YEAR(A349))</f>
        <v/>
      </c>
      <c r="D349" s="23">
        <f>IF(A349="","",IF(OR(E349="Nomina",E349="Trading/Payout",E349="Otro ingreso"),"Ingreso","Gasto"))</f>
        <v/>
      </c>
    </row>
    <row r="350">
      <c r="B350" s="24">
        <f>IF(A350="","",TEXT(A350,"MMMM"))</f>
        <v/>
      </c>
      <c r="C350" s="24">
        <f>IF(A350="","",YEAR(A350))</f>
        <v/>
      </c>
      <c r="D350" s="24">
        <f>IF(A350="","",IF(OR(E350="Nomina",E350="Trading/Payout",E350="Otro ingreso"),"Ingreso","Gasto"))</f>
        <v/>
      </c>
    </row>
    <row r="351">
      <c r="B351" s="23">
        <f>IF(A351="","",TEXT(A351,"MMMM"))</f>
        <v/>
      </c>
      <c r="C351" s="23">
        <f>IF(A351="","",YEAR(A351))</f>
        <v/>
      </c>
      <c r="D351" s="23">
        <f>IF(A351="","",IF(OR(E351="Nomina",E351="Trading/Payout",E351="Otro ingreso"),"Ingreso","Gasto"))</f>
        <v/>
      </c>
    </row>
    <row r="352">
      <c r="B352" s="24">
        <f>IF(A352="","",TEXT(A352,"MMMM"))</f>
        <v/>
      </c>
      <c r="C352" s="24">
        <f>IF(A352="","",YEAR(A352))</f>
        <v/>
      </c>
      <c r="D352" s="24">
        <f>IF(A352="","",IF(OR(E352="Nomina",E352="Trading/Payout",E352="Otro ingreso"),"Ingreso","Gasto"))</f>
        <v/>
      </c>
    </row>
    <row r="353">
      <c r="B353" s="23">
        <f>IF(A353="","",TEXT(A353,"MMMM"))</f>
        <v/>
      </c>
      <c r="C353" s="23">
        <f>IF(A353="","",YEAR(A353))</f>
        <v/>
      </c>
      <c r="D353" s="23">
        <f>IF(A353="","",IF(OR(E353="Nomina",E353="Trading/Payout",E353="Otro ingreso"),"Ingreso","Gasto"))</f>
        <v/>
      </c>
    </row>
    <row r="354">
      <c r="B354" s="24">
        <f>IF(A354="","",TEXT(A354,"MMMM"))</f>
        <v/>
      </c>
      <c r="C354" s="24">
        <f>IF(A354="","",YEAR(A354))</f>
        <v/>
      </c>
      <c r="D354" s="24">
        <f>IF(A354="","",IF(OR(E354="Nomina",E354="Trading/Payout",E354="Otro ingreso"),"Ingreso","Gasto"))</f>
        <v/>
      </c>
    </row>
    <row r="355">
      <c r="B355" s="23">
        <f>IF(A355="","",TEXT(A355,"MMMM"))</f>
        <v/>
      </c>
      <c r="C355" s="23">
        <f>IF(A355="","",YEAR(A355))</f>
        <v/>
      </c>
      <c r="D355" s="23">
        <f>IF(A355="","",IF(OR(E355="Nomina",E355="Trading/Payout",E355="Otro ingreso"),"Ingreso","Gasto"))</f>
        <v/>
      </c>
    </row>
    <row r="356">
      <c r="B356" s="24">
        <f>IF(A356="","",TEXT(A356,"MMMM"))</f>
        <v/>
      </c>
      <c r="C356" s="24">
        <f>IF(A356="","",YEAR(A356))</f>
        <v/>
      </c>
      <c r="D356" s="24">
        <f>IF(A356="","",IF(OR(E356="Nomina",E356="Trading/Payout",E356="Otro ingreso"),"Ingreso","Gasto"))</f>
        <v/>
      </c>
    </row>
    <row r="357">
      <c r="B357" s="23">
        <f>IF(A357="","",TEXT(A357,"MMMM"))</f>
        <v/>
      </c>
      <c r="C357" s="23">
        <f>IF(A357="","",YEAR(A357))</f>
        <v/>
      </c>
      <c r="D357" s="23">
        <f>IF(A357="","",IF(OR(E357="Nomina",E357="Trading/Payout",E357="Otro ingreso"),"Ingreso","Gasto"))</f>
        <v/>
      </c>
    </row>
    <row r="358">
      <c r="B358" s="24">
        <f>IF(A358="","",TEXT(A358,"MMMM"))</f>
        <v/>
      </c>
      <c r="C358" s="24">
        <f>IF(A358="","",YEAR(A358))</f>
        <v/>
      </c>
      <c r="D358" s="24">
        <f>IF(A358="","",IF(OR(E358="Nomina",E358="Trading/Payout",E358="Otro ingreso"),"Ingreso","Gasto"))</f>
        <v/>
      </c>
    </row>
    <row r="359">
      <c r="B359" s="23">
        <f>IF(A359="","",TEXT(A359,"MMMM"))</f>
        <v/>
      </c>
      <c r="C359" s="23">
        <f>IF(A359="","",YEAR(A359))</f>
        <v/>
      </c>
      <c r="D359" s="23">
        <f>IF(A359="","",IF(OR(E359="Nomina",E359="Trading/Payout",E359="Otro ingreso"),"Ingreso","Gasto"))</f>
        <v/>
      </c>
    </row>
    <row r="360">
      <c r="B360" s="24">
        <f>IF(A360="","",TEXT(A360,"MMMM"))</f>
        <v/>
      </c>
      <c r="C360" s="24">
        <f>IF(A360="","",YEAR(A360))</f>
        <v/>
      </c>
      <c r="D360" s="24">
        <f>IF(A360="","",IF(OR(E360="Nomina",E360="Trading/Payout",E360="Otro ingreso"),"Ingreso","Gasto"))</f>
        <v/>
      </c>
    </row>
    <row r="361">
      <c r="B361" s="23">
        <f>IF(A361="","",TEXT(A361,"MMMM"))</f>
        <v/>
      </c>
      <c r="C361" s="23">
        <f>IF(A361="","",YEAR(A361))</f>
        <v/>
      </c>
      <c r="D361" s="23">
        <f>IF(A361="","",IF(OR(E361="Nomina",E361="Trading/Payout",E361="Otro ingreso"),"Ingreso","Gasto"))</f>
        <v/>
      </c>
    </row>
    <row r="362">
      <c r="B362" s="24">
        <f>IF(A362="","",TEXT(A362,"MMMM"))</f>
        <v/>
      </c>
      <c r="C362" s="24">
        <f>IF(A362="","",YEAR(A362))</f>
        <v/>
      </c>
      <c r="D362" s="24">
        <f>IF(A362="","",IF(OR(E362="Nomina",E362="Trading/Payout",E362="Otro ingreso"),"Ingreso","Gasto"))</f>
        <v/>
      </c>
    </row>
    <row r="363">
      <c r="B363" s="23">
        <f>IF(A363="","",TEXT(A363,"MMMM"))</f>
        <v/>
      </c>
      <c r="C363" s="23">
        <f>IF(A363="","",YEAR(A363))</f>
        <v/>
      </c>
      <c r="D363" s="23">
        <f>IF(A363="","",IF(OR(E363="Nomina",E363="Trading/Payout",E363="Otro ingreso"),"Ingreso","Gasto"))</f>
        <v/>
      </c>
    </row>
    <row r="364">
      <c r="B364" s="24">
        <f>IF(A364="","",TEXT(A364,"MMMM"))</f>
        <v/>
      </c>
      <c r="C364" s="24">
        <f>IF(A364="","",YEAR(A364))</f>
        <v/>
      </c>
      <c r="D364" s="24">
        <f>IF(A364="","",IF(OR(E364="Nomina",E364="Trading/Payout",E364="Otro ingreso"),"Ingreso","Gasto"))</f>
        <v/>
      </c>
    </row>
    <row r="365">
      <c r="B365" s="23">
        <f>IF(A365="","",TEXT(A365,"MMMM"))</f>
        <v/>
      </c>
      <c r="C365" s="23">
        <f>IF(A365="","",YEAR(A365))</f>
        <v/>
      </c>
      <c r="D365" s="23">
        <f>IF(A365="","",IF(OR(E365="Nomina",E365="Trading/Payout",E365="Otro ingreso"),"Ingreso","Gasto"))</f>
        <v/>
      </c>
    </row>
    <row r="366">
      <c r="B366" s="24">
        <f>IF(A366="","",TEXT(A366,"MMMM"))</f>
        <v/>
      </c>
      <c r="C366" s="24">
        <f>IF(A366="","",YEAR(A366))</f>
        <v/>
      </c>
      <c r="D366" s="24">
        <f>IF(A366="","",IF(OR(E366="Nomina",E366="Trading/Payout",E366="Otro ingreso"),"Ingreso","Gasto"))</f>
        <v/>
      </c>
    </row>
    <row r="367">
      <c r="B367" s="23">
        <f>IF(A367="","",TEXT(A367,"MMMM"))</f>
        <v/>
      </c>
      <c r="C367" s="23">
        <f>IF(A367="","",YEAR(A367))</f>
        <v/>
      </c>
      <c r="D367" s="23">
        <f>IF(A367="","",IF(OR(E367="Nomina",E367="Trading/Payout",E367="Otro ingreso"),"Ingreso","Gasto"))</f>
        <v/>
      </c>
    </row>
    <row r="368">
      <c r="B368" s="24">
        <f>IF(A368="","",TEXT(A368,"MMMM"))</f>
        <v/>
      </c>
      <c r="C368" s="24">
        <f>IF(A368="","",YEAR(A368))</f>
        <v/>
      </c>
      <c r="D368" s="24">
        <f>IF(A368="","",IF(OR(E368="Nomina",E368="Trading/Payout",E368="Otro ingreso"),"Ingreso","Gasto"))</f>
        <v/>
      </c>
    </row>
    <row r="369">
      <c r="B369" s="23">
        <f>IF(A369="","",TEXT(A369,"MMMM"))</f>
        <v/>
      </c>
      <c r="C369" s="23">
        <f>IF(A369="","",YEAR(A369))</f>
        <v/>
      </c>
      <c r="D369" s="23">
        <f>IF(A369="","",IF(OR(E369="Nomina",E369="Trading/Payout",E369="Otro ingreso"),"Ingreso","Gasto"))</f>
        <v/>
      </c>
    </row>
    <row r="370">
      <c r="B370" s="24">
        <f>IF(A370="","",TEXT(A370,"MMMM"))</f>
        <v/>
      </c>
      <c r="C370" s="24">
        <f>IF(A370="","",YEAR(A370))</f>
        <v/>
      </c>
      <c r="D370" s="24">
        <f>IF(A370="","",IF(OR(E370="Nomina",E370="Trading/Payout",E370="Otro ingreso"),"Ingreso","Gasto"))</f>
        <v/>
      </c>
    </row>
    <row r="371">
      <c r="B371" s="23">
        <f>IF(A371="","",TEXT(A371,"MMMM"))</f>
        <v/>
      </c>
      <c r="C371" s="23">
        <f>IF(A371="","",YEAR(A371))</f>
        <v/>
      </c>
      <c r="D371" s="23">
        <f>IF(A371="","",IF(OR(E371="Nomina",E371="Trading/Payout",E371="Otro ingreso"),"Ingreso","Gasto"))</f>
        <v/>
      </c>
    </row>
    <row r="372">
      <c r="B372" s="24">
        <f>IF(A372="","",TEXT(A372,"MMMM"))</f>
        <v/>
      </c>
      <c r="C372" s="24">
        <f>IF(A372="","",YEAR(A372))</f>
        <v/>
      </c>
      <c r="D372" s="24">
        <f>IF(A372="","",IF(OR(E372="Nomina",E372="Trading/Payout",E372="Otro ingreso"),"Ingreso","Gasto"))</f>
        <v/>
      </c>
    </row>
    <row r="373">
      <c r="B373" s="23">
        <f>IF(A373="","",TEXT(A373,"MMMM"))</f>
        <v/>
      </c>
      <c r="C373" s="23">
        <f>IF(A373="","",YEAR(A373))</f>
        <v/>
      </c>
      <c r="D373" s="23">
        <f>IF(A373="","",IF(OR(E373="Nomina",E373="Trading/Payout",E373="Otro ingreso"),"Ingreso","Gasto"))</f>
        <v/>
      </c>
    </row>
    <row r="374">
      <c r="B374" s="24">
        <f>IF(A374="","",TEXT(A374,"MMMM"))</f>
        <v/>
      </c>
      <c r="C374" s="24">
        <f>IF(A374="","",YEAR(A374))</f>
        <v/>
      </c>
      <c r="D374" s="24">
        <f>IF(A374="","",IF(OR(E374="Nomina",E374="Trading/Payout",E374="Otro ingreso"),"Ingreso","Gasto"))</f>
        <v/>
      </c>
    </row>
    <row r="375">
      <c r="B375" s="23">
        <f>IF(A375="","",TEXT(A375,"MMMM"))</f>
        <v/>
      </c>
      <c r="C375" s="23">
        <f>IF(A375="","",YEAR(A375))</f>
        <v/>
      </c>
      <c r="D375" s="23">
        <f>IF(A375="","",IF(OR(E375="Nomina",E375="Trading/Payout",E375="Otro ingreso"),"Ingreso","Gasto"))</f>
        <v/>
      </c>
    </row>
    <row r="376">
      <c r="B376" s="24">
        <f>IF(A376="","",TEXT(A376,"MMMM"))</f>
        <v/>
      </c>
      <c r="C376" s="24">
        <f>IF(A376="","",YEAR(A376))</f>
        <v/>
      </c>
      <c r="D376" s="24">
        <f>IF(A376="","",IF(OR(E376="Nomina",E376="Trading/Payout",E376="Otro ingreso"),"Ingreso","Gasto"))</f>
        <v/>
      </c>
    </row>
    <row r="377">
      <c r="B377" s="23">
        <f>IF(A377="","",TEXT(A377,"MMMM"))</f>
        <v/>
      </c>
      <c r="C377" s="23">
        <f>IF(A377="","",YEAR(A377))</f>
        <v/>
      </c>
      <c r="D377" s="23">
        <f>IF(A377="","",IF(OR(E377="Nomina",E377="Trading/Payout",E377="Otro ingreso"),"Ingreso","Gasto"))</f>
        <v/>
      </c>
    </row>
    <row r="378">
      <c r="B378" s="24">
        <f>IF(A378="","",TEXT(A378,"MMMM"))</f>
        <v/>
      </c>
      <c r="C378" s="24">
        <f>IF(A378="","",YEAR(A378))</f>
        <v/>
      </c>
      <c r="D378" s="24">
        <f>IF(A378="","",IF(OR(E378="Nomina",E378="Trading/Payout",E378="Otro ingreso"),"Ingreso","Gasto"))</f>
        <v/>
      </c>
    </row>
    <row r="379">
      <c r="B379" s="23">
        <f>IF(A379="","",TEXT(A379,"MMMM"))</f>
        <v/>
      </c>
      <c r="C379" s="23">
        <f>IF(A379="","",YEAR(A379))</f>
        <v/>
      </c>
      <c r="D379" s="23">
        <f>IF(A379="","",IF(OR(E379="Nomina",E379="Trading/Payout",E379="Otro ingreso"),"Ingreso","Gasto"))</f>
        <v/>
      </c>
    </row>
    <row r="380">
      <c r="B380" s="24">
        <f>IF(A380="","",TEXT(A380,"MMMM"))</f>
        <v/>
      </c>
      <c r="C380" s="24">
        <f>IF(A380="","",YEAR(A380))</f>
        <v/>
      </c>
      <c r="D380" s="24">
        <f>IF(A380="","",IF(OR(E380="Nomina",E380="Trading/Payout",E380="Otro ingreso"),"Ingreso","Gasto"))</f>
        <v/>
      </c>
    </row>
    <row r="381">
      <c r="B381" s="23">
        <f>IF(A381="","",TEXT(A381,"MMMM"))</f>
        <v/>
      </c>
      <c r="C381" s="23">
        <f>IF(A381="","",YEAR(A381))</f>
        <v/>
      </c>
      <c r="D381" s="23">
        <f>IF(A381="","",IF(OR(E381="Nomina",E381="Trading/Payout",E381="Otro ingreso"),"Ingreso","Gasto"))</f>
        <v/>
      </c>
    </row>
    <row r="382">
      <c r="B382" s="24">
        <f>IF(A382="","",TEXT(A382,"MMMM"))</f>
        <v/>
      </c>
      <c r="C382" s="24">
        <f>IF(A382="","",YEAR(A382))</f>
        <v/>
      </c>
      <c r="D382" s="24">
        <f>IF(A382="","",IF(OR(E382="Nomina",E382="Trading/Payout",E382="Otro ingreso"),"Ingreso","Gasto"))</f>
        <v/>
      </c>
    </row>
    <row r="383">
      <c r="B383" s="23">
        <f>IF(A383="","",TEXT(A383,"MMMM"))</f>
        <v/>
      </c>
      <c r="C383" s="23">
        <f>IF(A383="","",YEAR(A383))</f>
        <v/>
      </c>
      <c r="D383" s="23">
        <f>IF(A383="","",IF(OR(E383="Nomina",E383="Trading/Payout",E383="Otro ingreso"),"Ingreso","Gasto"))</f>
        <v/>
      </c>
    </row>
    <row r="384">
      <c r="B384" s="24">
        <f>IF(A384="","",TEXT(A384,"MMMM"))</f>
        <v/>
      </c>
      <c r="C384" s="24">
        <f>IF(A384="","",YEAR(A384))</f>
        <v/>
      </c>
      <c r="D384" s="24">
        <f>IF(A384="","",IF(OR(E384="Nomina",E384="Trading/Payout",E384="Otro ingreso"),"Ingreso","Gasto"))</f>
        <v/>
      </c>
    </row>
    <row r="385">
      <c r="B385" s="23">
        <f>IF(A385="","",TEXT(A385,"MMMM"))</f>
        <v/>
      </c>
      <c r="C385" s="23">
        <f>IF(A385="","",YEAR(A385))</f>
        <v/>
      </c>
      <c r="D385" s="23">
        <f>IF(A385="","",IF(OR(E385="Nomina",E385="Trading/Payout",E385="Otro ingreso"),"Ingreso","Gasto"))</f>
        <v/>
      </c>
    </row>
    <row r="386">
      <c r="B386" s="24">
        <f>IF(A386="","",TEXT(A386,"MMMM"))</f>
        <v/>
      </c>
      <c r="C386" s="24">
        <f>IF(A386="","",YEAR(A386))</f>
        <v/>
      </c>
      <c r="D386" s="24">
        <f>IF(A386="","",IF(OR(E386="Nomina",E386="Trading/Payout",E386="Otro ingreso"),"Ingreso","Gasto"))</f>
        <v/>
      </c>
    </row>
    <row r="387">
      <c r="B387" s="23">
        <f>IF(A387="","",TEXT(A387,"MMMM"))</f>
        <v/>
      </c>
      <c r="C387" s="23">
        <f>IF(A387="","",YEAR(A387))</f>
        <v/>
      </c>
      <c r="D387" s="23">
        <f>IF(A387="","",IF(OR(E387="Nomina",E387="Trading/Payout",E387="Otro ingreso"),"Ingreso","Gasto"))</f>
        <v/>
      </c>
    </row>
    <row r="388">
      <c r="B388" s="24">
        <f>IF(A388="","",TEXT(A388,"MMMM"))</f>
        <v/>
      </c>
      <c r="C388" s="24">
        <f>IF(A388="","",YEAR(A388))</f>
        <v/>
      </c>
      <c r="D388" s="24">
        <f>IF(A388="","",IF(OR(E388="Nomina",E388="Trading/Payout",E388="Otro ingreso"),"Ingreso","Gasto"))</f>
        <v/>
      </c>
    </row>
    <row r="389">
      <c r="B389" s="23">
        <f>IF(A389="","",TEXT(A389,"MMMM"))</f>
        <v/>
      </c>
      <c r="C389" s="23">
        <f>IF(A389="","",YEAR(A389))</f>
        <v/>
      </c>
      <c r="D389" s="23">
        <f>IF(A389="","",IF(OR(E389="Nomina",E389="Trading/Payout",E389="Otro ingreso"),"Ingreso","Gasto"))</f>
        <v/>
      </c>
    </row>
    <row r="390">
      <c r="B390" s="24">
        <f>IF(A390="","",TEXT(A390,"MMMM"))</f>
        <v/>
      </c>
      <c r="C390" s="24">
        <f>IF(A390="","",YEAR(A390))</f>
        <v/>
      </c>
      <c r="D390" s="24">
        <f>IF(A390="","",IF(OR(E390="Nomina",E390="Trading/Payout",E390="Otro ingreso"),"Ingreso","Gasto"))</f>
        <v/>
      </c>
    </row>
    <row r="391">
      <c r="B391" s="23">
        <f>IF(A391="","",TEXT(A391,"MMMM"))</f>
        <v/>
      </c>
      <c r="C391" s="23">
        <f>IF(A391="","",YEAR(A391))</f>
        <v/>
      </c>
      <c r="D391" s="23">
        <f>IF(A391="","",IF(OR(E391="Nomina",E391="Trading/Payout",E391="Otro ingreso"),"Ingreso","Gasto"))</f>
        <v/>
      </c>
    </row>
    <row r="392">
      <c r="B392" s="24">
        <f>IF(A392="","",TEXT(A392,"MMMM"))</f>
        <v/>
      </c>
      <c r="C392" s="24">
        <f>IF(A392="","",YEAR(A392))</f>
        <v/>
      </c>
      <c r="D392" s="24">
        <f>IF(A392="","",IF(OR(E392="Nomina",E392="Trading/Payout",E392="Otro ingreso"),"Ingreso","Gasto"))</f>
        <v/>
      </c>
    </row>
    <row r="393">
      <c r="B393" s="23">
        <f>IF(A393="","",TEXT(A393,"MMMM"))</f>
        <v/>
      </c>
      <c r="C393" s="23">
        <f>IF(A393="","",YEAR(A393))</f>
        <v/>
      </c>
      <c r="D393" s="23">
        <f>IF(A393="","",IF(OR(E393="Nomina",E393="Trading/Payout",E393="Otro ingreso"),"Ingreso","Gasto"))</f>
        <v/>
      </c>
    </row>
    <row r="394">
      <c r="B394" s="24">
        <f>IF(A394="","",TEXT(A394,"MMMM"))</f>
        <v/>
      </c>
      <c r="C394" s="24">
        <f>IF(A394="","",YEAR(A394))</f>
        <v/>
      </c>
      <c r="D394" s="24">
        <f>IF(A394="","",IF(OR(E394="Nomina",E394="Trading/Payout",E394="Otro ingreso"),"Ingreso","Gasto"))</f>
        <v/>
      </c>
    </row>
    <row r="395">
      <c r="B395" s="23">
        <f>IF(A395="","",TEXT(A395,"MMMM"))</f>
        <v/>
      </c>
      <c r="C395" s="23">
        <f>IF(A395="","",YEAR(A395))</f>
        <v/>
      </c>
      <c r="D395" s="23">
        <f>IF(A395="","",IF(OR(E395="Nomina",E395="Trading/Payout",E395="Otro ingreso"),"Ingreso","Gasto"))</f>
        <v/>
      </c>
    </row>
    <row r="396">
      <c r="B396" s="24">
        <f>IF(A396="","",TEXT(A396,"MMMM"))</f>
        <v/>
      </c>
      <c r="C396" s="24">
        <f>IF(A396="","",YEAR(A396))</f>
        <v/>
      </c>
      <c r="D396" s="24">
        <f>IF(A396="","",IF(OR(E396="Nomina",E396="Trading/Payout",E396="Otro ingreso"),"Ingreso","Gasto"))</f>
        <v/>
      </c>
    </row>
    <row r="397">
      <c r="B397" s="23">
        <f>IF(A397="","",TEXT(A397,"MMMM"))</f>
        <v/>
      </c>
      <c r="C397" s="23">
        <f>IF(A397="","",YEAR(A397))</f>
        <v/>
      </c>
      <c r="D397" s="23">
        <f>IF(A397="","",IF(OR(E397="Nomina",E397="Trading/Payout",E397="Otro ingreso"),"Ingreso","Gasto"))</f>
        <v/>
      </c>
    </row>
    <row r="398">
      <c r="B398" s="24">
        <f>IF(A398="","",TEXT(A398,"MMMM"))</f>
        <v/>
      </c>
      <c r="C398" s="24">
        <f>IF(A398="","",YEAR(A398))</f>
        <v/>
      </c>
      <c r="D398" s="24">
        <f>IF(A398="","",IF(OR(E398="Nomina",E398="Trading/Payout",E398="Otro ingreso"),"Ingreso","Gasto"))</f>
        <v/>
      </c>
    </row>
    <row r="399">
      <c r="B399" s="23">
        <f>IF(A399="","",TEXT(A399,"MMMM"))</f>
        <v/>
      </c>
      <c r="C399" s="23">
        <f>IF(A399="","",YEAR(A399))</f>
        <v/>
      </c>
      <c r="D399" s="23">
        <f>IF(A399="","",IF(OR(E399="Nomina",E399="Trading/Payout",E399="Otro ingreso"),"Ingreso","Gasto"))</f>
        <v/>
      </c>
    </row>
    <row r="400">
      <c r="B400" s="24">
        <f>IF(A400="","",TEXT(A400,"MMMM"))</f>
        <v/>
      </c>
      <c r="C400" s="24">
        <f>IF(A400="","",YEAR(A400))</f>
        <v/>
      </c>
      <c r="D400" s="24">
        <f>IF(A400="","",IF(OR(E400="Nomina",E400="Trading/Payout",E400="Otro ingreso"),"Ingreso","Gasto"))</f>
        <v/>
      </c>
    </row>
    <row r="401">
      <c r="B401" s="23">
        <f>IF(A401="","",TEXT(A401,"MMMM"))</f>
        <v/>
      </c>
      <c r="C401" s="23">
        <f>IF(A401="","",YEAR(A401))</f>
        <v/>
      </c>
      <c r="D401" s="23">
        <f>IF(A401="","",IF(OR(E401="Nomina",E401="Trading/Payout",E401="Otro ingreso"),"Ingreso","Gasto"))</f>
        <v/>
      </c>
    </row>
    <row r="402">
      <c r="B402" s="24">
        <f>IF(A402="","",TEXT(A402,"MMMM"))</f>
        <v/>
      </c>
      <c r="C402" s="24">
        <f>IF(A402="","",YEAR(A402))</f>
        <v/>
      </c>
      <c r="D402" s="24">
        <f>IF(A402="","",IF(OR(E402="Nomina",E402="Trading/Payout",E402="Otro ingreso"),"Ingreso","Gasto"))</f>
        <v/>
      </c>
    </row>
    <row r="403">
      <c r="B403" s="23">
        <f>IF(A403="","",TEXT(A403,"MMMM"))</f>
        <v/>
      </c>
      <c r="C403" s="23">
        <f>IF(A403="","",YEAR(A403))</f>
        <v/>
      </c>
      <c r="D403" s="23">
        <f>IF(A403="","",IF(OR(E403="Nomina",E403="Trading/Payout",E403="Otro ingreso"),"Ingreso","Gasto"))</f>
        <v/>
      </c>
    </row>
    <row r="404">
      <c r="B404" s="24">
        <f>IF(A404="","",TEXT(A404,"MMMM"))</f>
        <v/>
      </c>
      <c r="C404" s="24">
        <f>IF(A404="","",YEAR(A404))</f>
        <v/>
      </c>
      <c r="D404" s="24">
        <f>IF(A404="","",IF(OR(E404="Nomina",E404="Trading/Payout",E404="Otro ingreso"),"Ingreso","Gasto"))</f>
        <v/>
      </c>
    </row>
    <row r="405">
      <c r="B405" s="23">
        <f>IF(A405="","",TEXT(A405,"MMMM"))</f>
        <v/>
      </c>
      <c r="C405" s="23">
        <f>IF(A405="","",YEAR(A405))</f>
        <v/>
      </c>
      <c r="D405" s="23">
        <f>IF(A405="","",IF(OR(E405="Nomina",E405="Trading/Payout",E405="Otro ingreso"),"Ingreso","Gasto"))</f>
        <v/>
      </c>
    </row>
    <row r="406">
      <c r="B406" s="24">
        <f>IF(A406="","",TEXT(A406,"MMMM"))</f>
        <v/>
      </c>
      <c r="C406" s="24">
        <f>IF(A406="","",YEAR(A406))</f>
        <v/>
      </c>
      <c r="D406" s="24">
        <f>IF(A406="","",IF(OR(E406="Nomina",E406="Trading/Payout",E406="Otro ingreso"),"Ingreso","Gasto"))</f>
        <v/>
      </c>
    </row>
    <row r="407">
      <c r="B407" s="23">
        <f>IF(A407="","",TEXT(A407,"MMMM"))</f>
        <v/>
      </c>
      <c r="C407" s="23">
        <f>IF(A407="","",YEAR(A407))</f>
        <v/>
      </c>
      <c r="D407" s="23">
        <f>IF(A407="","",IF(OR(E407="Nomina",E407="Trading/Payout",E407="Otro ingreso"),"Ingreso","Gasto"))</f>
        <v/>
      </c>
    </row>
    <row r="408">
      <c r="B408" s="24">
        <f>IF(A408="","",TEXT(A408,"MMMM"))</f>
        <v/>
      </c>
      <c r="C408" s="24">
        <f>IF(A408="","",YEAR(A408))</f>
        <v/>
      </c>
      <c r="D408" s="24">
        <f>IF(A408="","",IF(OR(E408="Nomina",E408="Trading/Payout",E408="Otro ingreso"),"Ingreso","Gasto"))</f>
        <v/>
      </c>
    </row>
    <row r="409">
      <c r="B409" s="23">
        <f>IF(A409="","",TEXT(A409,"MMMM"))</f>
        <v/>
      </c>
      <c r="C409" s="23">
        <f>IF(A409="","",YEAR(A409))</f>
        <v/>
      </c>
      <c r="D409" s="23">
        <f>IF(A409="","",IF(OR(E409="Nomina",E409="Trading/Payout",E409="Otro ingreso"),"Ingreso","Gasto"))</f>
        <v/>
      </c>
    </row>
    <row r="410">
      <c r="B410" s="24">
        <f>IF(A410="","",TEXT(A410,"MMMM"))</f>
        <v/>
      </c>
      <c r="C410" s="24">
        <f>IF(A410="","",YEAR(A410))</f>
        <v/>
      </c>
      <c r="D410" s="24">
        <f>IF(A410="","",IF(OR(E410="Nomina",E410="Trading/Payout",E410="Otro ingreso"),"Ingreso","Gasto"))</f>
        <v/>
      </c>
    </row>
    <row r="411">
      <c r="B411" s="23">
        <f>IF(A411="","",TEXT(A411,"MMMM"))</f>
        <v/>
      </c>
      <c r="C411" s="23">
        <f>IF(A411="","",YEAR(A411))</f>
        <v/>
      </c>
      <c r="D411" s="23">
        <f>IF(A411="","",IF(OR(E411="Nomina",E411="Trading/Payout",E411="Otro ingreso"),"Ingreso","Gasto"))</f>
        <v/>
      </c>
    </row>
    <row r="412">
      <c r="B412" s="24">
        <f>IF(A412="","",TEXT(A412,"MMMM"))</f>
        <v/>
      </c>
      <c r="C412" s="24">
        <f>IF(A412="","",YEAR(A412))</f>
        <v/>
      </c>
      <c r="D412" s="24">
        <f>IF(A412="","",IF(OR(E412="Nomina",E412="Trading/Payout",E412="Otro ingreso"),"Ingreso","Gasto"))</f>
        <v/>
      </c>
    </row>
    <row r="413">
      <c r="B413" s="23">
        <f>IF(A413="","",TEXT(A413,"MMMM"))</f>
        <v/>
      </c>
      <c r="C413" s="23">
        <f>IF(A413="","",YEAR(A413))</f>
        <v/>
      </c>
      <c r="D413" s="23">
        <f>IF(A413="","",IF(OR(E413="Nomina",E413="Trading/Payout",E413="Otro ingreso"),"Ingreso","Gasto"))</f>
        <v/>
      </c>
    </row>
    <row r="414">
      <c r="B414" s="24">
        <f>IF(A414="","",TEXT(A414,"MMMM"))</f>
        <v/>
      </c>
      <c r="C414" s="24">
        <f>IF(A414="","",YEAR(A414))</f>
        <v/>
      </c>
      <c r="D414" s="24">
        <f>IF(A414="","",IF(OR(E414="Nomina",E414="Trading/Payout",E414="Otro ingreso"),"Ingreso","Gasto"))</f>
        <v/>
      </c>
    </row>
    <row r="415">
      <c r="B415" s="23">
        <f>IF(A415="","",TEXT(A415,"MMMM"))</f>
        <v/>
      </c>
      <c r="C415" s="23">
        <f>IF(A415="","",YEAR(A415))</f>
        <v/>
      </c>
      <c r="D415" s="23">
        <f>IF(A415="","",IF(OR(E415="Nomina",E415="Trading/Payout",E415="Otro ingreso"),"Ingreso","Gasto"))</f>
        <v/>
      </c>
    </row>
    <row r="416">
      <c r="B416" s="24">
        <f>IF(A416="","",TEXT(A416,"MMMM"))</f>
        <v/>
      </c>
      <c r="C416" s="24">
        <f>IF(A416="","",YEAR(A416))</f>
        <v/>
      </c>
      <c r="D416" s="24">
        <f>IF(A416="","",IF(OR(E416="Nomina",E416="Trading/Payout",E416="Otro ingreso"),"Ingreso","Gasto"))</f>
        <v/>
      </c>
    </row>
    <row r="417">
      <c r="B417" s="23">
        <f>IF(A417="","",TEXT(A417,"MMMM"))</f>
        <v/>
      </c>
      <c r="C417" s="23">
        <f>IF(A417="","",YEAR(A417))</f>
        <v/>
      </c>
      <c r="D417" s="23">
        <f>IF(A417="","",IF(OR(E417="Nomina",E417="Trading/Payout",E417="Otro ingreso"),"Ingreso","Gasto"))</f>
        <v/>
      </c>
    </row>
    <row r="418">
      <c r="B418" s="24">
        <f>IF(A418="","",TEXT(A418,"MMMM"))</f>
        <v/>
      </c>
      <c r="C418" s="24">
        <f>IF(A418="","",YEAR(A418))</f>
        <v/>
      </c>
      <c r="D418" s="24">
        <f>IF(A418="","",IF(OR(E418="Nomina",E418="Trading/Payout",E418="Otro ingreso"),"Ingreso","Gasto"))</f>
        <v/>
      </c>
    </row>
    <row r="419">
      <c r="B419" s="23">
        <f>IF(A419="","",TEXT(A419,"MMMM"))</f>
        <v/>
      </c>
      <c r="C419" s="23">
        <f>IF(A419="","",YEAR(A419))</f>
        <v/>
      </c>
      <c r="D419" s="23">
        <f>IF(A419="","",IF(OR(E419="Nomina",E419="Trading/Payout",E419="Otro ingreso"),"Ingreso","Gasto"))</f>
        <v/>
      </c>
    </row>
    <row r="420">
      <c r="B420" s="24">
        <f>IF(A420="","",TEXT(A420,"MMMM"))</f>
        <v/>
      </c>
      <c r="C420" s="24">
        <f>IF(A420="","",YEAR(A420))</f>
        <v/>
      </c>
      <c r="D420" s="24">
        <f>IF(A420="","",IF(OR(E420="Nomina",E420="Trading/Payout",E420="Otro ingreso"),"Ingreso","Gasto"))</f>
        <v/>
      </c>
    </row>
    <row r="421">
      <c r="B421" s="23">
        <f>IF(A421="","",TEXT(A421,"MMMM"))</f>
        <v/>
      </c>
      <c r="C421" s="23">
        <f>IF(A421="","",YEAR(A421))</f>
        <v/>
      </c>
      <c r="D421" s="23">
        <f>IF(A421="","",IF(OR(E421="Nomina",E421="Trading/Payout",E421="Otro ingreso"),"Ingreso","Gasto"))</f>
        <v/>
      </c>
    </row>
    <row r="422">
      <c r="B422" s="24">
        <f>IF(A422="","",TEXT(A422,"MMMM"))</f>
        <v/>
      </c>
      <c r="C422" s="24">
        <f>IF(A422="","",YEAR(A422))</f>
        <v/>
      </c>
      <c r="D422" s="24">
        <f>IF(A422="","",IF(OR(E422="Nomina",E422="Trading/Payout",E422="Otro ingreso"),"Ingreso","Gasto"))</f>
        <v/>
      </c>
    </row>
    <row r="423">
      <c r="B423" s="23">
        <f>IF(A423="","",TEXT(A423,"MMMM"))</f>
        <v/>
      </c>
      <c r="C423" s="23">
        <f>IF(A423="","",YEAR(A423))</f>
        <v/>
      </c>
      <c r="D423" s="23">
        <f>IF(A423="","",IF(OR(E423="Nomina",E423="Trading/Payout",E423="Otro ingreso"),"Ingreso","Gasto"))</f>
        <v/>
      </c>
    </row>
    <row r="424">
      <c r="B424" s="24">
        <f>IF(A424="","",TEXT(A424,"MMMM"))</f>
        <v/>
      </c>
      <c r="C424" s="24">
        <f>IF(A424="","",YEAR(A424))</f>
        <v/>
      </c>
      <c r="D424" s="24">
        <f>IF(A424="","",IF(OR(E424="Nomina",E424="Trading/Payout",E424="Otro ingreso"),"Ingreso","Gasto"))</f>
        <v/>
      </c>
    </row>
    <row r="425">
      <c r="B425" s="23">
        <f>IF(A425="","",TEXT(A425,"MMMM"))</f>
        <v/>
      </c>
      <c r="C425" s="23">
        <f>IF(A425="","",YEAR(A425))</f>
        <v/>
      </c>
      <c r="D425" s="23">
        <f>IF(A425="","",IF(OR(E425="Nomina",E425="Trading/Payout",E425="Otro ingreso"),"Ingreso","Gasto"))</f>
        <v/>
      </c>
    </row>
    <row r="426">
      <c r="B426" s="24">
        <f>IF(A426="","",TEXT(A426,"MMMM"))</f>
        <v/>
      </c>
      <c r="C426" s="24">
        <f>IF(A426="","",YEAR(A426))</f>
        <v/>
      </c>
      <c r="D426" s="24">
        <f>IF(A426="","",IF(OR(E426="Nomina",E426="Trading/Payout",E426="Otro ingreso"),"Ingreso","Gasto"))</f>
        <v/>
      </c>
    </row>
    <row r="427">
      <c r="B427" s="23">
        <f>IF(A427="","",TEXT(A427,"MMMM"))</f>
        <v/>
      </c>
      <c r="C427" s="23">
        <f>IF(A427="","",YEAR(A427))</f>
        <v/>
      </c>
      <c r="D427" s="23">
        <f>IF(A427="","",IF(OR(E427="Nomina",E427="Trading/Payout",E427="Otro ingreso"),"Ingreso","Gasto"))</f>
        <v/>
      </c>
    </row>
    <row r="428">
      <c r="B428" s="24">
        <f>IF(A428="","",TEXT(A428,"MMMM"))</f>
        <v/>
      </c>
      <c r="C428" s="24">
        <f>IF(A428="","",YEAR(A428))</f>
        <v/>
      </c>
      <c r="D428" s="24">
        <f>IF(A428="","",IF(OR(E428="Nomina",E428="Trading/Payout",E428="Otro ingreso"),"Ingreso","Gasto"))</f>
        <v/>
      </c>
    </row>
    <row r="429">
      <c r="B429" s="23">
        <f>IF(A429="","",TEXT(A429,"MMMM"))</f>
        <v/>
      </c>
      <c r="C429" s="23">
        <f>IF(A429="","",YEAR(A429))</f>
        <v/>
      </c>
      <c r="D429" s="23">
        <f>IF(A429="","",IF(OR(E429="Nomina",E429="Trading/Payout",E429="Otro ingreso"),"Ingreso","Gasto"))</f>
        <v/>
      </c>
    </row>
    <row r="430">
      <c r="B430" s="24">
        <f>IF(A430="","",TEXT(A430,"MMMM"))</f>
        <v/>
      </c>
      <c r="C430" s="24">
        <f>IF(A430="","",YEAR(A430))</f>
        <v/>
      </c>
      <c r="D430" s="24">
        <f>IF(A430="","",IF(OR(E430="Nomina",E430="Trading/Payout",E430="Otro ingreso"),"Ingreso","Gasto"))</f>
        <v/>
      </c>
    </row>
    <row r="431">
      <c r="B431" s="23">
        <f>IF(A431="","",TEXT(A431,"MMMM"))</f>
        <v/>
      </c>
      <c r="C431" s="23">
        <f>IF(A431="","",YEAR(A431))</f>
        <v/>
      </c>
      <c r="D431" s="23">
        <f>IF(A431="","",IF(OR(E431="Nomina",E431="Trading/Payout",E431="Otro ingreso"),"Ingreso","Gasto"))</f>
        <v/>
      </c>
    </row>
    <row r="432">
      <c r="B432" s="24">
        <f>IF(A432="","",TEXT(A432,"MMMM"))</f>
        <v/>
      </c>
      <c r="C432" s="24">
        <f>IF(A432="","",YEAR(A432))</f>
        <v/>
      </c>
      <c r="D432" s="24">
        <f>IF(A432="","",IF(OR(E432="Nomina",E432="Trading/Payout",E432="Otro ingreso"),"Ingreso","Gasto"))</f>
        <v/>
      </c>
    </row>
    <row r="433">
      <c r="B433" s="23">
        <f>IF(A433="","",TEXT(A433,"MMMM"))</f>
        <v/>
      </c>
      <c r="C433" s="23">
        <f>IF(A433="","",YEAR(A433))</f>
        <v/>
      </c>
      <c r="D433" s="23">
        <f>IF(A433="","",IF(OR(E433="Nomina",E433="Trading/Payout",E433="Otro ingreso"),"Ingreso","Gasto"))</f>
        <v/>
      </c>
    </row>
    <row r="434">
      <c r="B434" s="24">
        <f>IF(A434="","",TEXT(A434,"MMMM"))</f>
        <v/>
      </c>
      <c r="C434" s="24">
        <f>IF(A434="","",YEAR(A434))</f>
        <v/>
      </c>
      <c r="D434" s="24">
        <f>IF(A434="","",IF(OR(E434="Nomina",E434="Trading/Payout",E434="Otro ingreso"),"Ingreso","Gasto"))</f>
        <v/>
      </c>
    </row>
    <row r="435">
      <c r="B435" s="23">
        <f>IF(A435="","",TEXT(A435,"MMMM"))</f>
        <v/>
      </c>
      <c r="C435" s="23">
        <f>IF(A435="","",YEAR(A435))</f>
        <v/>
      </c>
      <c r="D435" s="23">
        <f>IF(A435="","",IF(OR(E435="Nomina",E435="Trading/Payout",E435="Otro ingreso"),"Ingreso","Gasto"))</f>
        <v/>
      </c>
    </row>
    <row r="436">
      <c r="B436" s="24">
        <f>IF(A436="","",TEXT(A436,"MMMM"))</f>
        <v/>
      </c>
      <c r="C436" s="24">
        <f>IF(A436="","",YEAR(A436))</f>
        <v/>
      </c>
      <c r="D436" s="24">
        <f>IF(A436="","",IF(OR(E436="Nomina",E436="Trading/Payout",E436="Otro ingreso"),"Ingreso","Gasto"))</f>
        <v/>
      </c>
    </row>
    <row r="437">
      <c r="B437" s="23">
        <f>IF(A437="","",TEXT(A437,"MMMM"))</f>
        <v/>
      </c>
      <c r="C437" s="23">
        <f>IF(A437="","",YEAR(A437))</f>
        <v/>
      </c>
      <c r="D437" s="23">
        <f>IF(A437="","",IF(OR(E437="Nomina",E437="Trading/Payout",E437="Otro ingreso"),"Ingreso","Gasto"))</f>
        <v/>
      </c>
    </row>
    <row r="438">
      <c r="B438" s="24">
        <f>IF(A438="","",TEXT(A438,"MMMM"))</f>
        <v/>
      </c>
      <c r="C438" s="24">
        <f>IF(A438="","",YEAR(A438))</f>
        <v/>
      </c>
      <c r="D438" s="24">
        <f>IF(A438="","",IF(OR(E438="Nomina",E438="Trading/Payout",E438="Otro ingreso"),"Ingreso","Gasto"))</f>
        <v/>
      </c>
    </row>
    <row r="439">
      <c r="B439" s="23">
        <f>IF(A439="","",TEXT(A439,"MMMM"))</f>
        <v/>
      </c>
      <c r="C439" s="23">
        <f>IF(A439="","",YEAR(A439))</f>
        <v/>
      </c>
      <c r="D439" s="23">
        <f>IF(A439="","",IF(OR(E439="Nomina",E439="Trading/Payout",E439="Otro ingreso"),"Ingreso","Gasto"))</f>
        <v/>
      </c>
    </row>
    <row r="440">
      <c r="B440" s="24">
        <f>IF(A440="","",TEXT(A440,"MMMM"))</f>
        <v/>
      </c>
      <c r="C440" s="24">
        <f>IF(A440="","",YEAR(A440))</f>
        <v/>
      </c>
      <c r="D440" s="24">
        <f>IF(A440="","",IF(OR(E440="Nomina",E440="Trading/Payout",E440="Otro ingreso"),"Ingreso","Gasto"))</f>
        <v/>
      </c>
    </row>
    <row r="441">
      <c r="B441" s="23">
        <f>IF(A441="","",TEXT(A441,"MMMM"))</f>
        <v/>
      </c>
      <c r="C441" s="23">
        <f>IF(A441="","",YEAR(A441))</f>
        <v/>
      </c>
      <c r="D441" s="23">
        <f>IF(A441="","",IF(OR(E441="Nomina",E441="Trading/Payout",E441="Otro ingreso"),"Ingreso","Gasto"))</f>
        <v/>
      </c>
    </row>
    <row r="442">
      <c r="B442" s="24">
        <f>IF(A442="","",TEXT(A442,"MMMM"))</f>
        <v/>
      </c>
      <c r="C442" s="24">
        <f>IF(A442="","",YEAR(A442))</f>
        <v/>
      </c>
      <c r="D442" s="24">
        <f>IF(A442="","",IF(OR(E442="Nomina",E442="Trading/Payout",E442="Otro ingreso"),"Ingreso","Gasto"))</f>
        <v/>
      </c>
    </row>
    <row r="443">
      <c r="B443" s="23">
        <f>IF(A443="","",TEXT(A443,"MMMM"))</f>
        <v/>
      </c>
      <c r="C443" s="23">
        <f>IF(A443="","",YEAR(A443))</f>
        <v/>
      </c>
      <c r="D443" s="23">
        <f>IF(A443="","",IF(OR(E443="Nomina",E443="Trading/Payout",E443="Otro ingreso"),"Ingreso","Gasto"))</f>
        <v/>
      </c>
    </row>
    <row r="444">
      <c r="B444" s="24">
        <f>IF(A444="","",TEXT(A444,"MMMM"))</f>
        <v/>
      </c>
      <c r="C444" s="24">
        <f>IF(A444="","",YEAR(A444))</f>
        <v/>
      </c>
      <c r="D444" s="24">
        <f>IF(A444="","",IF(OR(E444="Nomina",E444="Trading/Payout",E444="Otro ingreso"),"Ingreso","Gasto"))</f>
        <v/>
      </c>
    </row>
    <row r="445">
      <c r="B445" s="23">
        <f>IF(A445="","",TEXT(A445,"MMMM"))</f>
        <v/>
      </c>
      <c r="C445" s="23">
        <f>IF(A445="","",YEAR(A445))</f>
        <v/>
      </c>
      <c r="D445" s="23">
        <f>IF(A445="","",IF(OR(E445="Nomina",E445="Trading/Payout",E445="Otro ingreso"),"Ingreso","Gasto"))</f>
        <v/>
      </c>
    </row>
    <row r="446">
      <c r="B446" s="24">
        <f>IF(A446="","",TEXT(A446,"MMMM"))</f>
        <v/>
      </c>
      <c r="C446" s="24">
        <f>IF(A446="","",YEAR(A446))</f>
        <v/>
      </c>
      <c r="D446" s="24">
        <f>IF(A446="","",IF(OR(E446="Nomina",E446="Trading/Payout",E446="Otro ingreso"),"Ingreso","Gasto"))</f>
        <v/>
      </c>
    </row>
    <row r="447">
      <c r="B447" s="23">
        <f>IF(A447="","",TEXT(A447,"MMMM"))</f>
        <v/>
      </c>
      <c r="C447" s="23">
        <f>IF(A447="","",YEAR(A447))</f>
        <v/>
      </c>
      <c r="D447" s="23">
        <f>IF(A447="","",IF(OR(E447="Nomina",E447="Trading/Payout",E447="Otro ingreso"),"Ingreso","Gasto"))</f>
        <v/>
      </c>
    </row>
    <row r="448">
      <c r="B448" s="24">
        <f>IF(A448="","",TEXT(A448,"MMMM"))</f>
        <v/>
      </c>
      <c r="C448" s="24">
        <f>IF(A448="","",YEAR(A448))</f>
        <v/>
      </c>
      <c r="D448" s="24">
        <f>IF(A448="","",IF(OR(E448="Nomina",E448="Trading/Payout",E448="Otro ingreso"),"Ingreso","Gasto"))</f>
        <v/>
      </c>
    </row>
    <row r="449">
      <c r="B449" s="23">
        <f>IF(A449="","",TEXT(A449,"MMMM"))</f>
        <v/>
      </c>
      <c r="C449" s="23">
        <f>IF(A449="","",YEAR(A449))</f>
        <v/>
      </c>
      <c r="D449" s="23">
        <f>IF(A449="","",IF(OR(E449="Nomina",E449="Trading/Payout",E449="Otro ingreso"),"Ingreso","Gasto"))</f>
        <v/>
      </c>
    </row>
    <row r="450">
      <c r="B450" s="24">
        <f>IF(A450="","",TEXT(A450,"MMMM"))</f>
        <v/>
      </c>
      <c r="C450" s="24">
        <f>IF(A450="","",YEAR(A450))</f>
        <v/>
      </c>
      <c r="D450" s="24">
        <f>IF(A450="","",IF(OR(E450="Nomina",E450="Trading/Payout",E450="Otro ingreso"),"Ingreso","Gasto"))</f>
        <v/>
      </c>
    </row>
    <row r="451">
      <c r="B451" s="23">
        <f>IF(A451="","",TEXT(A451,"MMMM"))</f>
        <v/>
      </c>
      <c r="C451" s="23">
        <f>IF(A451="","",YEAR(A451))</f>
        <v/>
      </c>
      <c r="D451" s="23">
        <f>IF(A451="","",IF(OR(E451="Nomina",E451="Trading/Payout",E451="Otro ingreso"),"Ingreso","Gasto"))</f>
        <v/>
      </c>
    </row>
    <row r="452">
      <c r="B452" s="24">
        <f>IF(A452="","",TEXT(A452,"MMMM"))</f>
        <v/>
      </c>
      <c r="C452" s="24">
        <f>IF(A452="","",YEAR(A452))</f>
        <v/>
      </c>
      <c r="D452" s="24">
        <f>IF(A452="","",IF(OR(E452="Nomina",E452="Trading/Payout",E452="Otro ingreso"),"Ingreso","Gasto"))</f>
        <v/>
      </c>
    </row>
    <row r="453">
      <c r="B453" s="23">
        <f>IF(A453="","",TEXT(A453,"MMMM"))</f>
        <v/>
      </c>
      <c r="C453" s="23">
        <f>IF(A453="","",YEAR(A453))</f>
        <v/>
      </c>
      <c r="D453" s="23">
        <f>IF(A453="","",IF(OR(E453="Nomina",E453="Trading/Payout",E453="Otro ingreso"),"Ingreso","Gasto"))</f>
        <v/>
      </c>
    </row>
    <row r="454">
      <c r="B454" s="24">
        <f>IF(A454="","",TEXT(A454,"MMMM"))</f>
        <v/>
      </c>
      <c r="C454" s="24">
        <f>IF(A454="","",YEAR(A454))</f>
        <v/>
      </c>
      <c r="D454" s="24">
        <f>IF(A454="","",IF(OR(E454="Nomina",E454="Trading/Payout",E454="Otro ingreso"),"Ingreso","Gasto"))</f>
        <v/>
      </c>
    </row>
    <row r="455">
      <c r="B455" s="23">
        <f>IF(A455="","",TEXT(A455,"MMMM"))</f>
        <v/>
      </c>
      <c r="C455" s="23">
        <f>IF(A455="","",YEAR(A455))</f>
        <v/>
      </c>
      <c r="D455" s="23">
        <f>IF(A455="","",IF(OR(E455="Nomina",E455="Trading/Payout",E455="Otro ingreso"),"Ingreso","Gasto"))</f>
        <v/>
      </c>
    </row>
    <row r="456">
      <c r="B456" s="24">
        <f>IF(A456="","",TEXT(A456,"MMMM"))</f>
        <v/>
      </c>
      <c r="C456" s="24">
        <f>IF(A456="","",YEAR(A456))</f>
        <v/>
      </c>
      <c r="D456" s="24">
        <f>IF(A456="","",IF(OR(E456="Nomina",E456="Trading/Payout",E456="Otro ingreso"),"Ingreso","Gasto"))</f>
        <v/>
      </c>
    </row>
    <row r="457">
      <c r="B457" s="23">
        <f>IF(A457="","",TEXT(A457,"MMMM"))</f>
        <v/>
      </c>
      <c r="C457" s="23">
        <f>IF(A457="","",YEAR(A457))</f>
        <v/>
      </c>
      <c r="D457" s="23">
        <f>IF(A457="","",IF(OR(E457="Nomina",E457="Trading/Payout",E457="Otro ingreso"),"Ingreso","Gasto"))</f>
        <v/>
      </c>
    </row>
    <row r="458">
      <c r="B458" s="24">
        <f>IF(A458="","",TEXT(A458,"MMMM"))</f>
        <v/>
      </c>
      <c r="C458" s="24">
        <f>IF(A458="","",YEAR(A458))</f>
        <v/>
      </c>
      <c r="D458" s="24">
        <f>IF(A458="","",IF(OR(E458="Nomina",E458="Trading/Payout",E458="Otro ingreso"),"Ingreso","Gasto"))</f>
        <v/>
      </c>
    </row>
    <row r="459">
      <c r="B459" s="23">
        <f>IF(A459="","",TEXT(A459,"MMMM"))</f>
        <v/>
      </c>
      <c r="C459" s="23">
        <f>IF(A459="","",YEAR(A459))</f>
        <v/>
      </c>
      <c r="D459" s="23">
        <f>IF(A459="","",IF(OR(E459="Nomina",E459="Trading/Payout",E459="Otro ingreso"),"Ingreso","Gasto"))</f>
        <v/>
      </c>
    </row>
    <row r="460">
      <c r="B460" s="24">
        <f>IF(A460="","",TEXT(A460,"MMMM"))</f>
        <v/>
      </c>
      <c r="C460" s="24">
        <f>IF(A460="","",YEAR(A460))</f>
        <v/>
      </c>
      <c r="D460" s="24">
        <f>IF(A460="","",IF(OR(E460="Nomina",E460="Trading/Payout",E460="Otro ingreso"),"Ingreso","Gasto"))</f>
        <v/>
      </c>
    </row>
    <row r="461">
      <c r="B461" s="23">
        <f>IF(A461="","",TEXT(A461,"MMMM"))</f>
        <v/>
      </c>
      <c r="C461" s="23">
        <f>IF(A461="","",YEAR(A461))</f>
        <v/>
      </c>
      <c r="D461" s="23">
        <f>IF(A461="","",IF(OR(E461="Nomina",E461="Trading/Payout",E461="Otro ingreso"),"Ingreso","Gasto"))</f>
        <v/>
      </c>
    </row>
    <row r="462">
      <c r="B462" s="24">
        <f>IF(A462="","",TEXT(A462,"MMMM"))</f>
        <v/>
      </c>
      <c r="C462" s="24">
        <f>IF(A462="","",YEAR(A462))</f>
        <v/>
      </c>
      <c r="D462" s="24">
        <f>IF(A462="","",IF(OR(E462="Nomina",E462="Trading/Payout",E462="Otro ingreso"),"Ingreso","Gasto"))</f>
        <v/>
      </c>
    </row>
    <row r="463">
      <c r="B463" s="23">
        <f>IF(A463="","",TEXT(A463,"MMMM"))</f>
        <v/>
      </c>
      <c r="C463" s="23">
        <f>IF(A463="","",YEAR(A463))</f>
        <v/>
      </c>
      <c r="D463" s="23">
        <f>IF(A463="","",IF(OR(E463="Nomina",E463="Trading/Payout",E463="Otro ingreso"),"Ingreso","Gasto"))</f>
        <v/>
      </c>
    </row>
    <row r="464">
      <c r="B464" s="24">
        <f>IF(A464="","",TEXT(A464,"MMMM"))</f>
        <v/>
      </c>
      <c r="C464" s="24">
        <f>IF(A464="","",YEAR(A464))</f>
        <v/>
      </c>
      <c r="D464" s="24">
        <f>IF(A464="","",IF(OR(E464="Nomina",E464="Trading/Payout",E464="Otro ingreso"),"Ingreso","Gasto"))</f>
        <v/>
      </c>
    </row>
    <row r="465">
      <c r="B465" s="23">
        <f>IF(A465="","",TEXT(A465,"MMMM"))</f>
        <v/>
      </c>
      <c r="C465" s="23">
        <f>IF(A465="","",YEAR(A465))</f>
        <v/>
      </c>
      <c r="D465" s="23">
        <f>IF(A465="","",IF(OR(E465="Nomina",E465="Trading/Payout",E465="Otro ingreso"),"Ingreso","Gasto"))</f>
        <v/>
      </c>
    </row>
    <row r="466">
      <c r="B466" s="24">
        <f>IF(A466="","",TEXT(A466,"MMMM"))</f>
        <v/>
      </c>
      <c r="C466" s="24">
        <f>IF(A466="","",YEAR(A466))</f>
        <v/>
      </c>
      <c r="D466" s="24">
        <f>IF(A466="","",IF(OR(E466="Nomina",E466="Trading/Payout",E466="Otro ingreso"),"Ingreso","Gasto"))</f>
        <v/>
      </c>
    </row>
    <row r="467">
      <c r="B467" s="23">
        <f>IF(A467="","",TEXT(A467,"MMMM"))</f>
        <v/>
      </c>
      <c r="C467" s="23">
        <f>IF(A467="","",YEAR(A467))</f>
        <v/>
      </c>
      <c r="D467" s="23">
        <f>IF(A467="","",IF(OR(E467="Nomina",E467="Trading/Payout",E467="Otro ingreso"),"Ingreso","Gasto"))</f>
        <v/>
      </c>
    </row>
    <row r="468">
      <c r="B468" s="24">
        <f>IF(A468="","",TEXT(A468,"MMMM"))</f>
        <v/>
      </c>
      <c r="C468" s="24">
        <f>IF(A468="","",YEAR(A468))</f>
        <v/>
      </c>
      <c r="D468" s="24">
        <f>IF(A468="","",IF(OR(E468="Nomina",E468="Trading/Payout",E468="Otro ingreso"),"Ingreso","Gasto"))</f>
        <v/>
      </c>
    </row>
    <row r="469">
      <c r="B469" s="23">
        <f>IF(A469="","",TEXT(A469,"MMMM"))</f>
        <v/>
      </c>
      <c r="C469" s="23">
        <f>IF(A469="","",YEAR(A469))</f>
        <v/>
      </c>
      <c r="D469" s="23">
        <f>IF(A469="","",IF(OR(E469="Nomina",E469="Trading/Payout",E469="Otro ingreso"),"Ingreso","Gasto"))</f>
        <v/>
      </c>
    </row>
    <row r="470">
      <c r="B470" s="24">
        <f>IF(A470="","",TEXT(A470,"MMMM"))</f>
        <v/>
      </c>
      <c r="C470" s="24">
        <f>IF(A470="","",YEAR(A470))</f>
        <v/>
      </c>
      <c r="D470" s="24">
        <f>IF(A470="","",IF(OR(E470="Nomina",E470="Trading/Payout",E470="Otro ingreso"),"Ingreso","Gasto"))</f>
        <v/>
      </c>
    </row>
    <row r="471">
      <c r="B471" s="23">
        <f>IF(A471="","",TEXT(A471,"MMMM"))</f>
        <v/>
      </c>
      <c r="C471" s="23">
        <f>IF(A471="","",YEAR(A471))</f>
        <v/>
      </c>
      <c r="D471" s="23">
        <f>IF(A471="","",IF(OR(E471="Nomina",E471="Trading/Payout",E471="Otro ingreso"),"Ingreso","Gasto"))</f>
        <v/>
      </c>
    </row>
    <row r="472">
      <c r="B472" s="24">
        <f>IF(A472="","",TEXT(A472,"MMMM"))</f>
        <v/>
      </c>
      <c r="C472" s="24">
        <f>IF(A472="","",YEAR(A472))</f>
        <v/>
      </c>
      <c r="D472" s="24">
        <f>IF(A472="","",IF(OR(E472="Nomina",E472="Trading/Payout",E472="Otro ingreso"),"Ingreso","Gasto"))</f>
        <v/>
      </c>
    </row>
    <row r="473">
      <c r="B473" s="23">
        <f>IF(A473="","",TEXT(A473,"MMMM"))</f>
        <v/>
      </c>
      <c r="C473" s="23">
        <f>IF(A473="","",YEAR(A473))</f>
        <v/>
      </c>
      <c r="D473" s="23">
        <f>IF(A473="","",IF(OR(E473="Nomina",E473="Trading/Payout",E473="Otro ingreso"),"Ingreso","Gasto"))</f>
        <v/>
      </c>
    </row>
    <row r="474">
      <c r="B474" s="24">
        <f>IF(A474="","",TEXT(A474,"MMMM"))</f>
        <v/>
      </c>
      <c r="C474" s="24">
        <f>IF(A474="","",YEAR(A474))</f>
        <v/>
      </c>
      <c r="D474" s="24">
        <f>IF(A474="","",IF(OR(E474="Nomina",E474="Trading/Payout",E474="Otro ingreso"),"Ingreso","Gasto"))</f>
        <v/>
      </c>
    </row>
    <row r="475">
      <c r="B475" s="23">
        <f>IF(A475="","",TEXT(A475,"MMMM"))</f>
        <v/>
      </c>
      <c r="C475" s="23">
        <f>IF(A475="","",YEAR(A475))</f>
        <v/>
      </c>
      <c r="D475" s="23">
        <f>IF(A475="","",IF(OR(E475="Nomina",E475="Trading/Payout",E475="Otro ingreso"),"Ingreso","Gasto"))</f>
        <v/>
      </c>
    </row>
    <row r="476">
      <c r="B476" s="24">
        <f>IF(A476="","",TEXT(A476,"MMMM"))</f>
        <v/>
      </c>
      <c r="C476" s="24">
        <f>IF(A476="","",YEAR(A476))</f>
        <v/>
      </c>
      <c r="D476" s="24">
        <f>IF(A476="","",IF(OR(E476="Nomina",E476="Trading/Payout",E476="Otro ingreso"),"Ingreso","Gasto"))</f>
        <v/>
      </c>
    </row>
    <row r="477">
      <c r="B477" s="23">
        <f>IF(A477="","",TEXT(A477,"MMMM"))</f>
        <v/>
      </c>
      <c r="C477" s="23">
        <f>IF(A477="","",YEAR(A477))</f>
        <v/>
      </c>
      <c r="D477" s="23">
        <f>IF(A477="","",IF(OR(E477="Nomina",E477="Trading/Payout",E477="Otro ingreso"),"Ingreso","Gasto"))</f>
        <v/>
      </c>
    </row>
    <row r="478">
      <c r="B478" s="24">
        <f>IF(A478="","",TEXT(A478,"MMMM"))</f>
        <v/>
      </c>
      <c r="C478" s="24">
        <f>IF(A478="","",YEAR(A478))</f>
        <v/>
      </c>
      <c r="D478" s="24">
        <f>IF(A478="","",IF(OR(E478="Nomina",E478="Trading/Payout",E478="Otro ingreso"),"Ingreso","Gasto"))</f>
        <v/>
      </c>
    </row>
    <row r="479">
      <c r="B479" s="23">
        <f>IF(A479="","",TEXT(A479,"MMMM"))</f>
        <v/>
      </c>
      <c r="C479" s="23">
        <f>IF(A479="","",YEAR(A479))</f>
        <v/>
      </c>
      <c r="D479" s="23">
        <f>IF(A479="","",IF(OR(E479="Nomina",E479="Trading/Payout",E479="Otro ingreso"),"Ingreso","Gasto"))</f>
        <v/>
      </c>
    </row>
    <row r="480">
      <c r="B480" s="24">
        <f>IF(A480="","",TEXT(A480,"MMMM"))</f>
        <v/>
      </c>
      <c r="C480" s="24">
        <f>IF(A480="","",YEAR(A480))</f>
        <v/>
      </c>
      <c r="D480" s="24">
        <f>IF(A480="","",IF(OR(E480="Nomina",E480="Trading/Payout",E480="Otro ingreso"),"Ingreso","Gasto"))</f>
        <v/>
      </c>
    </row>
    <row r="481">
      <c r="B481" s="23">
        <f>IF(A481="","",TEXT(A481,"MMMM"))</f>
        <v/>
      </c>
      <c r="C481" s="23">
        <f>IF(A481="","",YEAR(A481))</f>
        <v/>
      </c>
      <c r="D481" s="23">
        <f>IF(A481="","",IF(OR(E481="Nomina",E481="Trading/Payout",E481="Otro ingreso"),"Ingreso","Gasto"))</f>
        <v/>
      </c>
    </row>
    <row r="482">
      <c r="B482" s="24">
        <f>IF(A482="","",TEXT(A482,"MMMM"))</f>
        <v/>
      </c>
      <c r="C482" s="24">
        <f>IF(A482="","",YEAR(A482))</f>
        <v/>
      </c>
      <c r="D482" s="24">
        <f>IF(A482="","",IF(OR(E482="Nomina",E482="Trading/Payout",E482="Otro ingreso"),"Ingreso","Gasto"))</f>
        <v/>
      </c>
    </row>
    <row r="483">
      <c r="B483" s="23">
        <f>IF(A483="","",TEXT(A483,"MMMM"))</f>
        <v/>
      </c>
      <c r="C483" s="23">
        <f>IF(A483="","",YEAR(A483))</f>
        <v/>
      </c>
      <c r="D483" s="23">
        <f>IF(A483="","",IF(OR(E483="Nomina",E483="Trading/Payout",E483="Otro ingreso"),"Ingreso","Gasto"))</f>
        <v/>
      </c>
    </row>
    <row r="484">
      <c r="B484" s="24">
        <f>IF(A484="","",TEXT(A484,"MMMM"))</f>
        <v/>
      </c>
      <c r="C484" s="24">
        <f>IF(A484="","",YEAR(A484))</f>
        <v/>
      </c>
      <c r="D484" s="24">
        <f>IF(A484="","",IF(OR(E484="Nomina",E484="Trading/Payout",E484="Otro ingreso"),"Ingreso","Gasto"))</f>
        <v/>
      </c>
    </row>
    <row r="485">
      <c r="B485" s="23">
        <f>IF(A485="","",TEXT(A485,"MMMM"))</f>
        <v/>
      </c>
      <c r="C485" s="23">
        <f>IF(A485="","",YEAR(A485))</f>
        <v/>
      </c>
      <c r="D485" s="23">
        <f>IF(A485="","",IF(OR(E485="Nomina",E485="Trading/Payout",E485="Otro ingreso"),"Ingreso","Gasto"))</f>
        <v/>
      </c>
    </row>
    <row r="486">
      <c r="B486" s="24">
        <f>IF(A486="","",TEXT(A486,"MMMM"))</f>
        <v/>
      </c>
      <c r="C486" s="24">
        <f>IF(A486="","",YEAR(A486))</f>
        <v/>
      </c>
      <c r="D486" s="24">
        <f>IF(A486="","",IF(OR(E486="Nomina",E486="Trading/Payout",E486="Otro ingreso"),"Ingreso","Gasto"))</f>
        <v/>
      </c>
    </row>
    <row r="487">
      <c r="B487" s="23">
        <f>IF(A487="","",TEXT(A487,"MMMM"))</f>
        <v/>
      </c>
      <c r="C487" s="23">
        <f>IF(A487="","",YEAR(A487))</f>
        <v/>
      </c>
      <c r="D487" s="23">
        <f>IF(A487="","",IF(OR(E487="Nomina",E487="Trading/Payout",E487="Otro ingreso"),"Ingreso","Gasto"))</f>
        <v/>
      </c>
    </row>
    <row r="488">
      <c r="B488" s="24">
        <f>IF(A488="","",TEXT(A488,"MMMM"))</f>
        <v/>
      </c>
      <c r="C488" s="24">
        <f>IF(A488="","",YEAR(A488))</f>
        <v/>
      </c>
      <c r="D488" s="24">
        <f>IF(A488="","",IF(OR(E488="Nomina",E488="Trading/Payout",E488="Otro ingreso"),"Ingreso","Gasto"))</f>
        <v/>
      </c>
    </row>
    <row r="489">
      <c r="B489" s="23">
        <f>IF(A489="","",TEXT(A489,"MMMM"))</f>
        <v/>
      </c>
      <c r="C489" s="23">
        <f>IF(A489="","",YEAR(A489))</f>
        <v/>
      </c>
      <c r="D489" s="23">
        <f>IF(A489="","",IF(OR(E489="Nomina",E489="Trading/Payout",E489="Otro ingreso"),"Ingreso","Gasto"))</f>
        <v/>
      </c>
    </row>
    <row r="490">
      <c r="B490" s="24">
        <f>IF(A490="","",TEXT(A490,"MMMM"))</f>
        <v/>
      </c>
      <c r="C490" s="24">
        <f>IF(A490="","",YEAR(A490))</f>
        <v/>
      </c>
      <c r="D490" s="24">
        <f>IF(A490="","",IF(OR(E490="Nomina",E490="Trading/Payout",E490="Otro ingreso"),"Ingreso","Gasto"))</f>
        <v/>
      </c>
    </row>
    <row r="491">
      <c r="B491" s="23">
        <f>IF(A491="","",TEXT(A491,"MMMM"))</f>
        <v/>
      </c>
      <c r="C491" s="23">
        <f>IF(A491="","",YEAR(A491))</f>
        <v/>
      </c>
      <c r="D491" s="23">
        <f>IF(A491="","",IF(OR(E491="Nomina",E491="Trading/Payout",E491="Otro ingreso"),"Ingreso","Gasto"))</f>
        <v/>
      </c>
    </row>
    <row r="492">
      <c r="B492" s="24">
        <f>IF(A492="","",TEXT(A492,"MMMM"))</f>
        <v/>
      </c>
      <c r="C492" s="24">
        <f>IF(A492="","",YEAR(A492))</f>
        <v/>
      </c>
      <c r="D492" s="24">
        <f>IF(A492="","",IF(OR(E492="Nomina",E492="Trading/Payout",E492="Otro ingreso"),"Ingreso","Gasto"))</f>
        <v/>
      </c>
    </row>
    <row r="493">
      <c r="B493" s="23">
        <f>IF(A493="","",TEXT(A493,"MMMM"))</f>
        <v/>
      </c>
      <c r="C493" s="23">
        <f>IF(A493="","",YEAR(A493))</f>
        <v/>
      </c>
      <c r="D493" s="23">
        <f>IF(A493="","",IF(OR(E493="Nomina",E493="Trading/Payout",E493="Otro ingreso"),"Ingreso","Gasto"))</f>
        <v/>
      </c>
    </row>
    <row r="494">
      <c r="B494" s="24">
        <f>IF(A494="","",TEXT(A494,"MMMM"))</f>
        <v/>
      </c>
      <c r="C494" s="24">
        <f>IF(A494="","",YEAR(A494))</f>
        <v/>
      </c>
      <c r="D494" s="24">
        <f>IF(A494="","",IF(OR(E494="Nomina",E494="Trading/Payout",E494="Otro ingreso"),"Ingreso","Gasto"))</f>
        <v/>
      </c>
    </row>
    <row r="495">
      <c r="B495" s="23">
        <f>IF(A495="","",TEXT(A495,"MMMM"))</f>
        <v/>
      </c>
      <c r="C495" s="23">
        <f>IF(A495="","",YEAR(A495))</f>
        <v/>
      </c>
      <c r="D495" s="23">
        <f>IF(A495="","",IF(OR(E495="Nomina",E495="Trading/Payout",E495="Otro ingreso"),"Ingreso","Gasto"))</f>
        <v/>
      </c>
    </row>
    <row r="496">
      <c r="B496" s="24">
        <f>IF(A496="","",TEXT(A496,"MMMM"))</f>
        <v/>
      </c>
      <c r="C496" s="24">
        <f>IF(A496="","",YEAR(A496))</f>
        <v/>
      </c>
      <c r="D496" s="24">
        <f>IF(A496="","",IF(OR(E496="Nomina",E496="Trading/Payout",E496="Otro ingreso"),"Ingreso","Gasto"))</f>
        <v/>
      </c>
    </row>
    <row r="497">
      <c r="B497" s="23">
        <f>IF(A497="","",TEXT(A497,"MMMM"))</f>
        <v/>
      </c>
      <c r="C497" s="23">
        <f>IF(A497="","",YEAR(A497))</f>
        <v/>
      </c>
      <c r="D497" s="23">
        <f>IF(A497="","",IF(OR(E497="Nomina",E497="Trading/Payout",E497="Otro ingreso"),"Ingreso","Gasto"))</f>
        <v/>
      </c>
    </row>
    <row r="498">
      <c r="B498" s="24">
        <f>IF(A498="","",TEXT(A498,"MMMM"))</f>
        <v/>
      </c>
      <c r="C498" s="24">
        <f>IF(A498="","",YEAR(A498))</f>
        <v/>
      </c>
      <c r="D498" s="24">
        <f>IF(A498="","",IF(OR(E498="Nomina",E498="Trading/Payout",E498="Otro ingreso"),"Ingreso","Gasto"))</f>
        <v/>
      </c>
    </row>
    <row r="499">
      <c r="B499" s="23">
        <f>IF(A499="","",TEXT(A499,"MMMM"))</f>
        <v/>
      </c>
      <c r="C499" s="23">
        <f>IF(A499="","",YEAR(A499))</f>
        <v/>
      </c>
      <c r="D499" s="23">
        <f>IF(A499="","",IF(OR(E499="Nomina",E499="Trading/Payout",E499="Otro ingreso"),"Ingreso","Gasto"))</f>
        <v/>
      </c>
    </row>
    <row r="500">
      <c r="B500" s="24">
        <f>IF(A500="","",TEXT(A500,"MMMM"))</f>
        <v/>
      </c>
      <c r="C500" s="24">
        <f>IF(A500="","",YEAR(A500))</f>
        <v/>
      </c>
      <c r="D500" s="24">
        <f>IF(A500="","",IF(OR(E500="Nomina",E500="Trading/Payout",E500="Otro ingreso"),"Ingreso","Gasto"))</f>
        <v/>
      </c>
    </row>
  </sheetData>
  <autoFilter ref="A2:J2"/>
  <mergeCells count="1">
    <mergeCell ref="A1:J1"/>
  </mergeCells>
  <dataValidations count="2">
    <dataValidation sqref="E3:E1000" showDropDown="0" showInputMessage="0" showErrorMessage="0" allowBlank="1" type="list">
      <formula1>ListaCategorias</formula1>
    </dataValidation>
    <dataValidation sqref="I3:I1000" showDropDown="0" showInputMessage="0" showErrorMessage="0" allowBlank="1" type="list">
      <formula1>"Efectivo,Tarjeta,Transferencia,Domiciliacion,Bizum"</formula1>
    </dataValidation>
  </dataValidation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F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6" customWidth="1" min="3" max="3"/>
    <col width="16" customWidth="1" min="4" max="4"/>
    <col width="35" customWidth="1" min="5" max="5"/>
  </cols>
  <sheetData>
    <row r="1" ht="30" customHeight="1">
      <c r="A1" s="1" t="inlineStr">
        <is>
          <t>PRESUPUESTO MENSUAL - JUNIO 2026</t>
        </is>
      </c>
    </row>
    <row r="3" ht="28" customHeight="1">
      <c r="A3" s="6" t="inlineStr">
        <is>
          <t>Ingreso neto mensual - MODIFICA AQUI CADA MES:</t>
        </is>
      </c>
      <c r="D3" s="25" t="n">
        <v>2000</v>
      </c>
    </row>
    <row r="4" ht="22" customHeight="1">
      <c r="A4" s="2" t="inlineStr">
        <is>
          <t>&gt;&gt;&gt; ESTA ES LA CELDA CLAVE: cambia D3 cada mes y todo el sistema se actualiza &lt;&lt;&lt;</t>
        </is>
      </c>
    </row>
    <row r="5" ht="22" customHeight="1">
      <c r="A5" s="8" t="inlineStr">
        <is>
          <t>PERIODO A ANALIZAR:</t>
        </is>
      </c>
      <c r="B5" s="26" t="n">
        <v>6</v>
      </c>
      <c r="C5" s="2">
        <f>TEXT(DATE($E$5,$B$5,1),"MMMM YYYY")</f>
        <v/>
      </c>
      <c r="D5" s="8" t="inlineStr">
        <is>
          <t>Ano:</t>
        </is>
      </c>
      <c r="E5" s="26" t="n">
        <v>2026</v>
      </c>
    </row>
    <row r="6">
      <c r="A6" s="1" t="inlineStr">
        <is>
          <t>GASTOS FIJOS MENSUALES</t>
        </is>
      </c>
    </row>
    <row r="7" ht="20" customHeight="1">
      <c r="A7" s="7" t="inlineStr">
        <is>
          <t>Concepto</t>
        </is>
      </c>
      <c r="B7" s="7" t="inlineStr">
        <is>
          <t>Categoria</t>
        </is>
      </c>
      <c r="C7" s="7" t="inlineStr">
        <is>
          <t>Importe</t>
        </is>
      </c>
      <c r="D7" s="7" t="inlineStr">
        <is>
          <t>% Ingreso</t>
        </is>
      </c>
      <c r="E7" s="7" t="inlineStr">
        <is>
          <t>Estado</t>
        </is>
      </c>
    </row>
    <row r="8">
      <c r="A8" s="10" t="inlineStr">
        <is>
          <t>Piso</t>
        </is>
      </c>
      <c r="B8" s="10" t="inlineStr">
        <is>
          <t>Vivienda</t>
        </is>
      </c>
      <c r="C8" s="17" t="n">
        <v>1000</v>
      </c>
      <c r="D8" s="18">
        <f>C8/$D$3</f>
        <v/>
      </c>
      <c r="E8" s="24" t="inlineStr">
        <is>
          <t>Fijo</t>
        </is>
      </c>
    </row>
    <row r="9">
      <c r="A9" s="5" t="inlineStr">
        <is>
          <t>Coche</t>
        </is>
      </c>
      <c r="B9" s="5" t="inlineStr">
        <is>
          <t>Transporte</t>
        </is>
      </c>
      <c r="C9" s="19" t="n">
        <v>450</v>
      </c>
      <c r="D9" s="20">
        <f>C9/$D$3</f>
        <v/>
      </c>
      <c r="E9" s="23" t="inlineStr">
        <is>
          <t>Fijo</t>
        </is>
      </c>
    </row>
    <row r="10">
      <c r="A10" s="10" t="inlineStr">
        <is>
          <t>Gimnasio</t>
        </is>
      </c>
      <c r="B10" s="10" t="inlineStr">
        <is>
          <t>Salud/Deporte</t>
        </is>
      </c>
      <c r="C10" s="17" t="n">
        <v>25</v>
      </c>
      <c r="D10" s="18">
        <f>C10/$D$3</f>
        <v/>
      </c>
      <c r="E10" s="24" t="inlineStr">
        <is>
          <t>Fijo</t>
        </is>
      </c>
    </row>
    <row r="11">
      <c r="A11" s="5" t="inlineStr">
        <is>
          <t>TraderLab</t>
        </is>
      </c>
      <c r="B11" s="5" t="inlineStr">
        <is>
          <t>Formacion</t>
        </is>
      </c>
      <c r="C11" s="19" t="n">
        <v>100</v>
      </c>
      <c r="D11" s="20">
        <f>C11/$D$3</f>
        <v/>
      </c>
      <c r="E11" s="23" t="inlineStr">
        <is>
          <t>Fijo</t>
        </is>
      </c>
    </row>
    <row r="12">
      <c r="A12" s="4" t="inlineStr">
        <is>
          <t>TOTAL GASTOS FIJOS</t>
        </is>
      </c>
      <c r="B12" s="2" t="inlineStr"/>
      <c r="C12" s="21">
        <f>SUM(C8:C11)</f>
        <v/>
      </c>
      <c r="D12" s="22">
        <f>C12/$D$3</f>
        <v/>
      </c>
    </row>
    <row r="14">
      <c r="A14" s="1" t="inlineStr">
        <is>
          <t>DISTRIBUCION AUTOMATICA - SISTEMA INVERSOR (IMPORTES FIJOS)</t>
        </is>
      </c>
    </row>
    <row r="15">
      <c r="A15" s="7" t="inlineStr">
        <is>
          <t>Concepto</t>
        </is>
      </c>
      <c r="B15" s="7" t="inlineStr">
        <is>
          <t>Importe fijo/mes</t>
        </is>
      </c>
      <c r="C15" s="7" t="inlineStr">
        <is>
          <t>Importe</t>
        </is>
      </c>
      <c r="D15" s="7" t="inlineStr">
        <is>
          <t>Objetivo anual</t>
        </is>
      </c>
      <c r="E15" s="7" t="inlineStr">
        <is>
          <t>Descripcion</t>
        </is>
      </c>
    </row>
    <row r="16">
      <c r="A16" s="9" t="inlineStr">
        <is>
          <t>Ingreso disponible (tras fijos)</t>
        </is>
      </c>
      <c r="C16" s="17">
        <f>$D$3-C12</f>
        <v/>
      </c>
      <c r="E16" s="10" t="inlineStr">
        <is>
          <t>Base real = Ingreso - Gastos fijos</t>
        </is>
      </c>
    </row>
    <row r="17">
      <c r="A17" s="8" t="inlineStr">
        <is>
          <t>Bankroll (inversion trading)</t>
        </is>
      </c>
      <c r="B17" s="25" t="n">
        <v>100</v>
      </c>
      <c r="C17" s="19">
        <f>B17</f>
        <v/>
      </c>
      <c r="D17" s="19">
        <f>B17*12</f>
        <v/>
      </c>
      <c r="E17" s="5" t="inlineStr">
        <is>
          <t>Fijo minimo garantizado cada mes</t>
        </is>
      </c>
    </row>
    <row r="18">
      <c r="A18" s="9" t="inlineStr">
        <is>
          <t>Ahorro (fondo personal)</t>
        </is>
      </c>
      <c r="B18" s="25" t="n">
        <v>100</v>
      </c>
      <c r="C18" s="17">
        <f>B18</f>
        <v/>
      </c>
      <c r="D18" s="17">
        <f>B18*12</f>
        <v/>
      </c>
      <c r="E18" s="10" t="inlineStr">
        <is>
          <t>Fijo minimo garantizado cada mes</t>
        </is>
      </c>
    </row>
    <row r="19">
      <c r="A19" s="8" t="inlineStr">
        <is>
          <t>Caprichos y ocio (% del sobrante)</t>
        </is>
      </c>
      <c r="B19" s="27" t="n">
        <v>0.2</v>
      </c>
      <c r="C19" s="19">
        <f>MAX(0,($D$3-C12-B17-B18)*B19)</f>
        <v/>
      </c>
      <c r="D19" s="19">
        <f>C19*12</f>
        <v/>
      </c>
      <c r="E19" s="5" t="inlineStr">
        <is>
          <t>20% del sobrante real del mes</t>
        </is>
      </c>
    </row>
    <row r="21">
      <c r="A21" s="1" t="inlineStr">
        <is>
          <t>RESUMEN Y DISPONIBLE</t>
        </is>
      </c>
    </row>
    <row r="22">
      <c r="A22" s="7" t="inlineStr">
        <is>
          <t>Concepto</t>
        </is>
      </c>
      <c r="C22" s="7" t="inlineStr">
        <is>
          <t>Importe</t>
        </is>
      </c>
    </row>
    <row r="23">
      <c r="A23" s="10" t="inlineStr">
        <is>
          <t>Ingreso neto mensual</t>
        </is>
      </c>
      <c r="C23" s="17">
        <f>$D$3</f>
        <v/>
      </c>
    </row>
    <row r="24">
      <c r="A24" s="5" t="inlineStr">
        <is>
          <t>(-) Total gastos fijos</t>
        </is>
      </c>
      <c r="C24" s="19">
        <f>-C12</f>
        <v/>
      </c>
    </row>
    <row r="25">
      <c r="A25" s="10" t="inlineStr">
        <is>
          <t>(-) Bankroll (fijo)</t>
        </is>
      </c>
      <c r="C25" s="17">
        <f>-C17</f>
        <v/>
      </c>
    </row>
    <row r="26">
      <c r="A26" s="5" t="inlineStr">
        <is>
          <t>(-) Ahorro (fijo)</t>
        </is>
      </c>
      <c r="C26" s="19">
        <f>-C18</f>
        <v/>
      </c>
    </row>
    <row r="27">
      <c r="A27" s="10" t="inlineStr">
        <is>
          <t>(-) Caprichos (% sobrante)</t>
        </is>
      </c>
      <c r="C27" s="17">
        <f>-C19</f>
        <v/>
      </c>
    </row>
    <row r="28">
      <c r="A28" s="4" t="inlineStr">
        <is>
          <t>DISPONIBLE RESTANTE (reserva flexible)</t>
        </is>
      </c>
      <c r="C28" s="21">
        <f>SUM(C23:C27)</f>
        <v/>
      </c>
    </row>
    <row r="29">
      <c r="A29" s="4" t="inlineStr">
        <is>
          <t>% Gastado fijos / ingreso</t>
        </is>
      </c>
      <c r="C29" s="22">
        <f>C12/$D$3</f>
        <v/>
      </c>
    </row>
    <row r="30">
      <c r="A30" s="4" t="inlineStr">
        <is>
          <t>Total comprometido (fijos+BK+ahorro+cap)</t>
        </is>
      </c>
      <c r="C30" s="21">
        <f>C12+C17+C18+C19</f>
        <v/>
      </c>
    </row>
    <row r="32">
      <c r="A32" s="1" t="inlineStr">
        <is>
          <t>ESTADO DEL PRESUPUESTO</t>
        </is>
      </c>
    </row>
    <row r="33">
      <c r="A33" s="9" t="inlineStr">
        <is>
          <t>Umbral minimo de ingreso:</t>
        </is>
      </c>
      <c r="B33" s="10">
        <f>TEXT(C12+B17+B18,"#,##0.00")&amp;" EUR (fijos + BK + ahorro)"</f>
        <v/>
      </c>
    </row>
    <row r="34">
      <c r="A34" s="9" t="inlineStr">
        <is>
          <t>Alerta de ingreso:</t>
        </is>
      </c>
      <c r="B34" s="10">
        <f>IF($D$3&gt;=(C12+B17+B18),"OK - Ingresos suficientes para cubrir todos los compromisos","ATENCION: Ingreso por debajo del umbral minimo - reduce BK o ahorro este mes")</f>
        <v/>
      </c>
    </row>
    <row r="35">
      <c r="A35" s="9" t="inlineStr">
        <is>
          <t>Disponible restante:</t>
        </is>
      </c>
      <c r="B35" s="10">
        <f>TEXT(C28,"#,##0.00")&amp;" EUR de reserva flexible este mes"</f>
        <v/>
      </c>
    </row>
    <row r="36">
      <c r="A36" s="9" t="inlineStr">
        <is>
          <t>Progreso gastos fijos:</t>
        </is>
      </c>
      <c r="B36" s="10">
        <f>TEXT(C29,"0.0%")&amp;" del ingreso en gastos fijos"</f>
        <v/>
      </c>
    </row>
    <row r="38" ht="25" customHeight="1">
      <c r="A38" s="1" t="inlineStr">
        <is>
          <t>SEGUIMIENTO REAL DEL MES ACTUAL  (actualizado automaticamente desde REGISTRO DE MOVIMIENTOS)</t>
        </is>
      </c>
    </row>
    <row r="39" ht="18" customHeight="1">
      <c r="A39" s="2" t="inlineStr">
        <is>
          <t>&gt;&gt;&gt; Las celdas DORADAS son editables: cambia el limite mensual de cada categoria &lt;&lt;&lt;</t>
        </is>
      </c>
    </row>
    <row r="40">
      <c r="A40" s="7" t="inlineStr">
        <is>
          <t>Categoria / Concepto</t>
        </is>
      </c>
      <c r="B40" s="7" t="inlineStr">
        <is>
          <t>Limite Mensual (edita doradas)</t>
        </is>
      </c>
      <c r="C40" s="7" t="inlineStr">
        <is>
          <t>Gastado Real (mes)</t>
        </is>
      </c>
      <c r="D40" s="7" t="inlineStr">
        <is>
          <t>Diferencia</t>
        </is>
      </c>
      <c r="E40" s="7" t="inlineStr">
        <is>
          <t>Estado</t>
        </is>
      </c>
    </row>
    <row r="41">
      <c r="A41" s="9" t="inlineStr">
        <is>
          <t>Vivienda/Alquiler</t>
        </is>
      </c>
      <c r="B41" s="17">
        <f>C8</f>
        <v/>
      </c>
      <c r="C41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MOVIMIENTOS'!$E$3:$E$500="Vivienda/Alquiler")*('REGISTRO DE MOVIMIENTOS'!$H$3:$H$500))</f>
        <v/>
      </c>
      <c r="D41" s="17">
        <f>B41-C41</f>
        <v/>
      </c>
      <c r="E41" s="24">
        <f>IF(B41=0,"Sin limite",IF(C41&lt;=B41*0.8,"OK",IF(C41&lt;=B41,"AVISO","EXCEDIDO")))</f>
        <v/>
      </c>
    </row>
    <row r="42">
      <c r="A42" s="8" t="inlineStr">
        <is>
          <t>Coche/Transporte</t>
        </is>
      </c>
      <c r="B42" s="19">
        <f>C9</f>
        <v/>
      </c>
      <c r="C42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MOVIMIENTOS'!$E$3:$E$500="Coche/Transporte")*('REGISTRO DE MOVIMIENTOS'!$H$3:$H$500))</f>
        <v/>
      </c>
      <c r="D42" s="19">
        <f>B42-C42</f>
        <v/>
      </c>
      <c r="E42" s="23">
        <f>IF(B42=0,"Sin limite",IF(C42&lt;=B42*0.8,"OK",IF(C42&lt;=B42,"AVISO","EXCEDIDO")))</f>
        <v/>
      </c>
    </row>
    <row r="43">
      <c r="A43" s="9" t="inlineStr">
        <is>
          <t>Gasolina</t>
        </is>
      </c>
      <c r="B43" s="25" t="n">
        <v>80</v>
      </c>
      <c r="C43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MOVIMIENTOS'!$E$3:$E$500="Gasolina")*('REGISTRO DE MOVIMIENTOS'!$H$3:$H$500))</f>
        <v/>
      </c>
      <c r="D43" s="17">
        <f>B43-C43</f>
        <v/>
      </c>
      <c r="E43" s="24">
        <f>IF(B43=0,"Sin limite",IF(C43&lt;=B43*0.8,"OK",IF(C43&lt;=B43,"AVISO","EXCEDIDO")))</f>
        <v/>
      </c>
    </row>
    <row r="44">
      <c r="A44" s="8" t="inlineStr">
        <is>
          <t>Supermercado</t>
        </is>
      </c>
      <c r="B44" s="25" t="n">
        <v>200</v>
      </c>
      <c r="C44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MOVIMIENTOS'!$E$3:$E$500="Supermercado")*('REGISTRO DE MOVIMIENTOS'!$H$3:$H$500))</f>
        <v/>
      </c>
      <c r="D44" s="19">
        <f>B44-C44</f>
        <v/>
      </c>
      <c r="E44" s="23">
        <f>IF(B44=0,"Sin limite",IF(C44&lt;=B44*0.8,"OK",IF(C44&lt;=B44,"AVISO","EXCEDIDO")))</f>
        <v/>
      </c>
    </row>
    <row r="45">
      <c r="A45" s="9" t="inlineStr">
        <is>
          <t>Restaurante</t>
        </is>
      </c>
      <c r="B45" s="25" t="n">
        <v>100</v>
      </c>
      <c r="C45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MOVIMIENTOS'!$E$3:$E$500="Restaurante")*('REGISTRO DE MOVIMIENTOS'!$H$3:$H$500))</f>
        <v/>
      </c>
      <c r="D45" s="17">
        <f>B45-C45</f>
        <v/>
      </c>
      <c r="E45" s="24">
        <f>IF(B45=0,"Sin limite",IF(C45&lt;=B45*0.8,"OK",IF(C45&lt;=B45,"AVISO","EXCEDIDO")))</f>
        <v/>
      </c>
    </row>
    <row r="46">
      <c r="A46" s="8" t="inlineStr">
        <is>
          <t>Cafeteria/Bar</t>
        </is>
      </c>
      <c r="B46" s="25" t="n">
        <v>40</v>
      </c>
      <c r="C46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MOVIMIENTOS'!$E$3:$E$500="Cafeteria/Bar")*('REGISTRO DE MOVIMIENTOS'!$H$3:$H$500))</f>
        <v/>
      </c>
      <c r="D46" s="19">
        <f>B46-C46</f>
        <v/>
      </c>
      <c r="E46" s="23">
        <f>IF(B46=0,"Sin limite",IF(C46&lt;=B46*0.8,"OK",IF(C46&lt;=B46,"AVISO","EXCEDIDO")))</f>
        <v/>
      </c>
    </row>
    <row r="47">
      <c r="A47" s="9" t="inlineStr">
        <is>
          <t>Ocio/Entretenimiento</t>
        </is>
      </c>
      <c r="B47" s="25" t="n">
        <v>80</v>
      </c>
      <c r="C47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MOVIMIENTOS'!$E$3:$E$500="Ocio/Entretenimiento")*('REGISTRO DE MOVIMIENTOS'!$H$3:$H$500))</f>
        <v/>
      </c>
      <c r="D47" s="17">
        <f>B47-C47</f>
        <v/>
      </c>
      <c r="E47" s="24">
        <f>IF(B47=0,"Sin limite",IF(C47&lt;=B47*0.8,"OK",IF(C47&lt;=B47,"AVISO","EXCEDIDO")))</f>
        <v/>
      </c>
    </row>
    <row r="48">
      <c r="A48" s="8" t="inlineStr">
        <is>
          <t>Ropa/Calzado</t>
        </is>
      </c>
      <c r="B48" s="25" t="n">
        <v>60</v>
      </c>
      <c r="C48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MOVIMIENTOS'!$E$3:$E$500="Ropa/Calzado")*('REGISTRO DE MOVIMIENTOS'!$H$3:$H$500))</f>
        <v/>
      </c>
      <c r="D48" s="19">
        <f>B48-C48</f>
        <v/>
      </c>
      <c r="E48" s="23">
        <f>IF(B48=0,"Sin limite",IF(C48&lt;=B48*0.8,"OK",IF(C48&lt;=B48,"AVISO","EXCEDIDO")))</f>
        <v/>
      </c>
    </row>
    <row r="49">
      <c r="A49" s="9" t="inlineStr">
        <is>
          <t>Farmacia/Salud</t>
        </is>
      </c>
      <c r="B49" s="25" t="n">
        <v>40</v>
      </c>
      <c r="C49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MOVIMIENTOS'!$E$3:$E$500="Farmacia/Salud")*('REGISTRO DE MOVIMIENTOS'!$H$3:$H$500))</f>
        <v/>
      </c>
      <c r="D49" s="17">
        <f>B49-C49</f>
        <v/>
      </c>
      <c r="E49" s="24">
        <f>IF(B49=0,"Sin limite",IF(C49&lt;=B49*0.8,"OK",IF(C49&lt;=B49,"AVISO","EXCEDIDO")))</f>
        <v/>
      </c>
    </row>
    <row r="50">
      <c r="A50" s="8" t="inlineStr">
        <is>
          <t>Deporte/Gimnasio</t>
        </is>
      </c>
      <c r="B50" s="19">
        <f>C10</f>
        <v/>
      </c>
      <c r="C50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MOVIMIENTOS'!$E$3:$E$500="Deporte/Gimnasio")*('REGISTRO DE MOVIMIENTOS'!$H$3:$H$500))</f>
        <v/>
      </c>
      <c r="D50" s="19">
        <f>B50-C50</f>
        <v/>
      </c>
      <c r="E50" s="23">
        <f>IF(B50=0,"Sin limite",IF(C50&lt;=B50*0.8,"OK",IF(C50&lt;=B50,"AVISO","EXCEDIDO")))</f>
        <v/>
      </c>
    </row>
    <row r="51">
      <c r="A51" s="9" t="inlineStr">
        <is>
          <t>Formacion/Suscripciones</t>
        </is>
      </c>
      <c r="B51" s="17">
        <f>C11</f>
        <v/>
      </c>
      <c r="C51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MOVIMIENTOS'!$E$3:$E$500="Formacion/Suscripciones")*('REGISTRO DE MOVIMIENTOS'!$H$3:$H$500))</f>
        <v/>
      </c>
      <c r="D51" s="17">
        <f>B51-C51</f>
        <v/>
      </c>
      <c r="E51" s="24">
        <f>IF(B51=0,"Sin limite",IF(C51&lt;=B51*0.8,"OK",IF(C51&lt;=B51,"AVISO","EXCEDIDO")))</f>
        <v/>
      </c>
    </row>
    <row r="52">
      <c r="A52" s="8" t="inlineStr">
        <is>
          <t>Ahorro</t>
        </is>
      </c>
      <c r="B52" s="19">
        <f>B18</f>
        <v/>
      </c>
      <c r="C52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MOVIMIENTOS'!$E$3:$E$500="Ahorro")*('REGISTRO DE MOVIMIENTOS'!$H$3:$H$500))</f>
        <v/>
      </c>
      <c r="D52" s="19">
        <f>B52-C52</f>
        <v/>
      </c>
      <c r="E52" s="23">
        <f>IF(B52=0,"Sin limite",IF(C52&lt;=B52*0.8,"OK",IF(C52&lt;=B52,"AVISO","EXCEDIDO")))</f>
        <v/>
      </c>
    </row>
    <row r="53">
      <c r="A53" s="9" t="inlineStr">
        <is>
          <t>Bankroll</t>
        </is>
      </c>
      <c r="B53" s="17">
        <f>B17</f>
        <v/>
      </c>
      <c r="C53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MOVIMIENTOS'!$E$3:$E$500="Bankroll")*('REGISTRO DE MOVIMIENTOS'!$H$3:$H$500))</f>
        <v/>
      </c>
      <c r="D53" s="17">
        <f>B53-C53</f>
        <v/>
      </c>
      <c r="E53" s="24">
        <f>IF(B53=0,"Sin limite",IF(C53&lt;=B53*0.8,"OK",IF(C53&lt;=B53,"AVISO","EXCEDIDO")))</f>
        <v/>
      </c>
    </row>
    <row r="54">
      <c r="A54" s="8" t="inlineStr">
        <is>
          <t>Otros</t>
        </is>
      </c>
      <c r="B54" s="25" t="n">
        <v>50</v>
      </c>
      <c r="C54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MOVIMIENTOS'!$E$3:$E$500="Otros")*('REGISTRO DE MOVIMIENTOS'!$H$3:$H$500))</f>
        <v/>
      </c>
      <c r="D54" s="19">
        <f>B54-C54</f>
        <v/>
      </c>
      <c r="E54" s="23">
        <f>IF(B54=0,"Sin limite",IF(C54&lt;=B54*0.8,"OK",IF(C54&lt;=B54,"AVISO","EXCEDIDO")))</f>
        <v/>
      </c>
    </row>
    <row r="55">
      <c r="A55" s="4" t="inlineStr">
        <is>
          <t>TOTAL GASTOS REALES DEL MES</t>
        </is>
      </c>
      <c r="C55" s="21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MOVIMIENTOS'!$H$3:$H$500))</f>
        <v/>
      </c>
      <c r="D55" s="21">
        <f>$D$3-C55</f>
        <v/>
      </c>
      <c r="E55" s="4">
        <f>IF(C55&lt;=$D$3,"Dentro del ingreso","SUPERA EL INGRESO")</f>
        <v/>
      </c>
    </row>
    <row r="56">
      <c r="A56" s="9" t="inlineStr">
        <is>
          <t>TOTAL INGRESOS REGISTRADOS DEL MES</t>
        </is>
      </c>
      <c r="C56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MOVIMIENTOS'!$D$3:$D$500="Ingreso")*('REGISTRO DE MOVIMIENTOS'!$H$3:$H$500))</f>
        <v/>
      </c>
    </row>
    <row r="57">
      <c r="A57" s="9" t="inlineStr">
        <is>
          <t>% del presupuesto ejecutado (gastos / ingreso)</t>
        </is>
      </c>
      <c r="C57" s="18">
        <f>IFERROR(C55/$D$3,0)</f>
        <v/>
      </c>
    </row>
  </sheetData>
  <mergeCells count="13">
    <mergeCell ref="A39:E39"/>
    <mergeCell ref="B35:E35"/>
    <mergeCell ref="A38:E38"/>
    <mergeCell ref="A14:F14"/>
    <mergeCell ref="A1:F1"/>
    <mergeCell ref="A32:F32"/>
    <mergeCell ref="A6:F6"/>
    <mergeCell ref="B33:E33"/>
    <mergeCell ref="A3:C3"/>
    <mergeCell ref="A4:F4"/>
    <mergeCell ref="B34:E34"/>
    <mergeCell ref="A21:F21"/>
    <mergeCell ref="B36:E36"/>
  </mergeCells>
  <conditionalFormatting sqref="A41:E54">
    <cfRule type="expression" priority="1" dxfId="0">
      <formula>AND($B41&gt;0,$C41&gt;$B41)</formula>
    </cfRule>
    <cfRule type="expression" priority="2" dxfId="1">
      <formula>AND($B41&gt;0,$C41&gt;$B41*0.8,$C41&lt;=$B41)</formula>
    </cfRule>
    <cfRule type="expression" priority="3" dxfId="2">
      <formula>AND($B41&gt;0,$C41&gt;0,$C41&lt;=$B41*0.8)</formula>
    </cfRule>
  </conditionalFormatting>
  <conditionalFormatting sqref="C28">
    <cfRule type="cellIs" priority="4" operator="greaterThan" dxfId="2">
      <formula>0</formula>
    </cfRule>
    <cfRule type="cellIs" priority="5" operator="lessThanOrEqual" dxfId="0">
      <formula>0</formula>
    </cfRule>
  </conditionalFormatting>
  <conditionalFormatting sqref="C29">
    <cfRule type="cellIs" priority="6" operator="greaterThan" dxfId="3">
      <formula>1</formula>
    </cfRule>
    <cfRule type="cellIs" priority="7" operator="between" dxfId="4">
      <formula>0.9</formula>
      <formula>1</formula>
    </cfRule>
    <cfRule type="cellIs" priority="8" operator="lessThanOrEqual" dxfId="5">
      <formula>0.9</formula>
    </cfRule>
  </conditionalFormatting>
  <dataValidations count="1">
    <dataValidation sqref="B5" showDropDown="0" showInputMessage="0" showErrorMessage="0" allowBlank="0" errorTitle="Mes invalido" error="Introduce un numero entre 1 y 12" type="whole" operator="between">
      <formula1>1</formula1>
      <formula2>12</formula2>
    </dataValidation>
  </dataValidations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4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CONTROL DE AHORRO - EVOLUCION ACUMULADA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Cantidad (EUR)</t>
        </is>
      </c>
      <c r="E2" s="7" t="inlineStr">
        <is>
          <t>Acumulado (EUR)</t>
        </is>
      </c>
      <c r="F2" s="7" t="inlineStr">
        <is>
          <t>Tasa Ahorro %</t>
        </is>
      </c>
    </row>
    <row r="6">
      <c r="A6" s="1" t="inlineStr">
        <is>
          <t>RESUMEN ANUAL 2026</t>
        </is>
      </c>
    </row>
    <row r="7">
      <c r="A7" s="9" t="inlineStr">
        <is>
          <t>Total ahorrado anio 2026</t>
        </is>
      </c>
      <c r="B7" s="17">
        <f>SUMPRODUCT((ISNUMBER(A3:A1000))*(YEAR(IF(ISNUMBER(A3:A1000),A3:A1000,TODAY()))=2026)*(D3:D1000))</f>
        <v/>
      </c>
    </row>
    <row r="8">
      <c r="A8" s="8" t="inlineStr">
        <is>
          <t>Ahorro mensual medio</t>
        </is>
      </c>
      <c r="B8" s="19">
        <f>IFERROR(AVERAGEIF(C3:C1000,2026,D3:D1000),0)</f>
        <v/>
      </c>
    </row>
    <row r="9">
      <c r="A9" s="9" t="inlineStr">
        <is>
          <t>Capital acumulado total</t>
        </is>
      </c>
      <c r="B9" s="17">
        <f>MAX(E3:E1000)</f>
        <v/>
      </c>
    </row>
    <row r="10">
      <c r="A10" s="8" t="inlineStr">
        <is>
          <t>Objetivo anual (10% x 12 meses)</t>
        </is>
      </c>
      <c r="B10" s="19">
        <f>'PRESUPUESTO MENSUAL'!$D$3*0.10*12</f>
        <v/>
      </c>
    </row>
    <row r="11">
      <c r="A11" s="9" t="inlineStr">
        <is>
          <t>% Cumplimiento</t>
        </is>
      </c>
      <c r="B11" s="18">
        <f>IFERROR(B8/B10,0)</f>
        <v/>
      </c>
    </row>
    <row r="12">
      <c r="A12" s="3" t="inlineStr">
        <is>
          <t>DESDE REGISTRO DE MOVIMIENTOS (automatico)</t>
        </is>
      </c>
    </row>
    <row r="13">
      <c r="A13" s="9" t="inlineStr">
        <is>
          <t>Ahorro registrado este mes</t>
        </is>
      </c>
      <c r="B13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MOVIMIENTOS'!$E$3:$E$500="Ahorro")*('REGISTRO DE MOVIMIENTOS'!$H$3:$H$500))</f>
        <v/>
      </c>
      <c r="C13" s="10" t="inlineStr">
        <is>
          <t>Suma entradas Categoria=Ahorro del mes en curso</t>
        </is>
      </c>
    </row>
    <row r="14">
      <c r="A14" s="8" t="inlineStr">
        <is>
          <t>Ahorro registrado en 2026</t>
        </is>
      </c>
      <c r="B14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MOVIMIENTOS'!$E$3:$E$500="Ahorro")*('REGISTRO DE MOVIMIENTOS'!$H$3:$H$500))</f>
        <v/>
      </c>
      <c r="C14" s="5" t="inlineStr">
        <is>
          <t>Acumulado anual segun REGISTRO</t>
        </is>
      </c>
    </row>
  </sheetData>
  <mergeCells count="3">
    <mergeCell ref="A6:F6"/>
    <mergeCell ref="A1:F1"/>
    <mergeCell ref="A12:F12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12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6" customWidth="1" min="4" max="4"/>
    <col width="20" customWidth="1" min="5" max="5"/>
  </cols>
  <sheetData>
    <row r="1" ht="30" customHeight="1">
      <c r="A1" s="1" t="inlineStr">
        <is>
          <t>CONTROL DE BANKROLL - CAPITAL DE TRADING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Aporte (EUR)</t>
        </is>
      </c>
      <c r="E2" s="7" t="inlineStr">
        <is>
          <t>Capital Acumulado (EUR)</t>
        </is>
      </c>
    </row>
    <row r="5">
      <c r="A5" s="1" t="inlineStr">
        <is>
          <t>RESUMEN</t>
        </is>
      </c>
    </row>
    <row r="6">
      <c r="A6" s="9" t="inlineStr">
        <is>
          <t>Total bankroll aportado 2026</t>
        </is>
      </c>
      <c r="B6" s="17">
        <f>SUMPRODUCT((ISNUMBER(A3:A1000))*(YEAR(IF(ISNUMBER(A3:A1000),A3:A1000,TODAY()))=2026)*(D3:D1000))</f>
        <v/>
      </c>
    </row>
    <row r="7">
      <c r="A7" s="8" t="inlineStr">
        <is>
          <t>Capital acumulado total</t>
        </is>
      </c>
      <c r="B7" s="19">
        <f>MAX(E3:E1000)</f>
        <v/>
      </c>
    </row>
    <row r="8">
      <c r="A8" s="9" t="inlineStr">
        <is>
          <t>Objetivo anual</t>
        </is>
      </c>
      <c r="B8" s="17">
        <f>'PRESUPUESTO MENSUAL'!$D$3*0.10*12</f>
        <v/>
      </c>
    </row>
    <row r="9">
      <c r="A9" s="9" t="inlineStr">
        <is>
          <t>% Cumplimiento</t>
        </is>
      </c>
      <c r="B9" s="18">
        <f>IFERROR(B6/B8,0)</f>
        <v/>
      </c>
    </row>
    <row r="10">
      <c r="A10" s="3" t="inlineStr">
        <is>
          <t>DESDE REGISTRO DE MOVIMIENTOS (automatico)</t>
        </is>
      </c>
    </row>
    <row r="11">
      <c r="A11" s="9" t="inlineStr">
        <is>
          <t>Bankroll registrado este mes</t>
        </is>
      </c>
      <c r="B11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MOVIMIENTOS'!$E$3:$E$500="Bankroll")*('REGISTRO DE MOVIMIENTOS'!$H$3:$H$500))</f>
        <v/>
      </c>
      <c r="C11" s="10" t="inlineStr">
        <is>
          <t>Suma entradas Categoria=Bankroll del mes en curso</t>
        </is>
      </c>
    </row>
    <row r="12">
      <c r="A12" s="8" t="inlineStr">
        <is>
          <t>Bankroll registrado en 2026</t>
        </is>
      </c>
      <c r="B12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MOVIMIENTOS'!$E$3:$E$500="Bankroll")*('REGISTRO DE MOVIMIENTOS'!$H$3:$H$500))</f>
        <v/>
      </c>
      <c r="C12" s="5" t="inlineStr">
        <is>
          <t>Acumulado anual segun REGISTRO</t>
        </is>
      </c>
    </row>
  </sheetData>
  <mergeCells count="3">
    <mergeCell ref="A1:E1"/>
    <mergeCell ref="A5:E5"/>
    <mergeCell ref="A10:E10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510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22" customWidth="1" min="4" max="4"/>
    <col width="35" customWidth="1" min="5" max="5"/>
  </cols>
  <sheetData>
    <row r="1" ht="30" customHeight="1">
      <c r="A1" s="1" t="inlineStr">
        <is>
          <t>DASHBOARD DE TRADING - RESULTADOS Y ANALISIS</t>
        </is>
      </c>
    </row>
    <row r="2">
      <c r="A2" s="7" t="inlineStr">
        <is>
          <t>Fecha</t>
        </is>
      </c>
      <c r="B2" s="7" t="inlineStr">
        <is>
          <t>Cuenta / Plataforma</t>
        </is>
      </c>
      <c r="C2" s="7" t="inlineStr">
        <is>
          <t>Beneficio/Perdida (EUR)</t>
        </is>
      </c>
      <c r="D2" s="7" t="inlineStr">
        <is>
          <t>Payout Recibido (EUR)</t>
        </is>
      </c>
      <c r="E2" s="7" t="inlineStr">
        <is>
          <t>Observaciones</t>
        </is>
      </c>
    </row>
    <row r="502">
      <c r="A502" s="1" t="inlineStr">
        <is>
          <t>ESTADISTICAS DE TRADING</t>
        </is>
      </c>
    </row>
    <row r="503">
      <c r="A503" s="9" t="inlineStr">
        <is>
          <t>Beneficio mensual Jun 2026</t>
        </is>
      </c>
      <c r="B503" s="17">
        <f>SUMPRODUCT((ISNUMBER(A3:A500))*(MONTH(IF(ISNUMBER(A3:A500),A3:A500,TODAY()))=6)*(YEAR(IF(ISNUMBER(A3:A500),A3:A500,TODAY()))=2026)*(C3:C500))</f>
        <v/>
      </c>
    </row>
    <row r="504">
      <c r="A504" s="8" t="inlineStr">
        <is>
          <t>Beneficio anual 2026</t>
        </is>
      </c>
      <c r="B504" s="19">
        <f>SUMPRODUCT((ISNUMBER(A3:A500))*(YEAR(IF(ISNUMBER(A3:A500),A3:A500,TODAY()))=2026)*(C3:C500))</f>
        <v/>
      </c>
    </row>
    <row r="505">
      <c r="A505" s="9" t="inlineStr">
        <is>
          <t>Total payouts recibidos</t>
        </is>
      </c>
      <c r="B505" s="17">
        <f>SUM(D3:D500)</f>
        <v/>
      </c>
    </row>
    <row r="506">
      <c r="A506" s="8" t="inlineStr">
        <is>
          <t>ROI (sobre bankroll inicial 200 EUR)</t>
        </is>
      </c>
      <c r="B506" s="20">
        <f>IFERROR(SUM(C3:C500)/200,0)</f>
        <v/>
      </c>
    </row>
    <row r="507">
      <c r="A507" s="9" t="inlineStr">
        <is>
          <t>Mejor resultado individual</t>
        </is>
      </c>
      <c r="B507" s="17">
        <f>IFERROR(MAX(C3:C500),0)</f>
        <v/>
      </c>
    </row>
    <row r="508">
      <c r="A508" s="8" t="inlineStr">
        <is>
          <t>Peor resultado individual</t>
        </is>
      </c>
      <c r="B508" s="19">
        <f>IFERROR(MIN(C3:C500),0)</f>
        <v/>
      </c>
    </row>
    <row r="509">
      <c r="A509" s="9" t="inlineStr">
        <is>
          <t>Beneficio acumulado total</t>
        </is>
      </c>
      <c r="B509" s="17">
        <f>SUM(C3:C500)</f>
        <v/>
      </c>
    </row>
    <row r="510">
      <c r="A510" s="8" t="inlineStr">
        <is>
          <t>Numero de entradas</t>
        </is>
      </c>
      <c r="B510" s="28">
        <f>COUNTA(B3:B500)</f>
        <v/>
      </c>
    </row>
  </sheetData>
  <mergeCells count="2">
    <mergeCell ref="A1:E1"/>
    <mergeCell ref="A502:E502"/>
  </mergeCells>
  <conditionalFormatting sqref="C3:C1000">
    <cfRule type="cellIs" priority="1" operator="greaterThan" dxfId="2">
      <formula>0</formula>
    </cfRule>
    <cfRule type="cellIs" priority="2" operator="lessThan" dxfId="0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4" customWidth="1" min="4" max="4"/>
    <col width="35" customWidth="1" min="5" max="5"/>
  </cols>
  <sheetData>
    <row r="1" ht="30" customHeight="1">
      <c r="A1" s="1" t="inlineStr">
        <is>
          <t>CONTROL DE PAYOUTS - INGRESOS DE TRADING</t>
        </is>
      </c>
    </row>
    <row r="2">
      <c r="A2" s="7" t="inlineStr">
        <is>
          <t>Fecha</t>
        </is>
      </c>
      <c r="B2" s="7" t="inlineStr">
        <is>
          <t>Empresa / Plataforma</t>
        </is>
      </c>
      <c r="C2" s="7" t="inlineStr">
        <is>
          <t>Importe (EUR)</t>
        </is>
      </c>
      <c r="D2" s="7" t="inlineStr">
        <is>
          <t>Estado</t>
        </is>
      </c>
      <c r="E2" s="7" t="inlineStr">
        <is>
          <t>Observaciones</t>
        </is>
      </c>
    </row>
    <row r="6">
      <c r="A6" s="9" t="inlineStr">
        <is>
          <t>Total cobrado</t>
        </is>
      </c>
      <c r="B6" s="17">
        <f>SUMIF(D3:D1000,"Cobrado",C3:C1000)</f>
        <v/>
      </c>
    </row>
    <row r="7">
      <c r="A7" s="8" t="inlineStr">
        <is>
          <t>Total pendiente</t>
        </is>
      </c>
      <c r="B7" s="19">
        <f>SUMIF(D3:D1000,"Pendiente",C3:C1000)</f>
        <v/>
      </c>
    </row>
    <row r="8">
      <c r="A8" s="9" t="inlineStr">
        <is>
          <t>Total anual 2026</t>
        </is>
      </c>
      <c r="B8" s="17">
        <f>SUMPRODUCT((ISNUMBER(A3:A1000))*(YEAR(IF(ISNUMBER(A3:A1000),A3:A1000,TODAY()))=2026)*(C3:C1000))</f>
        <v/>
      </c>
    </row>
    <row r="9">
      <c r="A9" s="8" t="inlineStr">
        <is>
          <t>Total historico</t>
        </is>
      </c>
      <c r="B9" s="19">
        <f>SUM(C3:C1000)</f>
        <v/>
      </c>
    </row>
  </sheetData>
  <mergeCells count="1">
    <mergeCell ref="A1:E1"/>
  </mergeCells>
  <conditionalFormatting sqref="D3:D1000">
    <cfRule type="expression" priority="1" dxfId="2">
      <formula>D3="Cobrado"</formula>
    </cfRule>
    <cfRule type="expression" priority="2" dxfId="1">
      <formula>D3="Pendiente"</formula>
    </cfRule>
  </conditionalFormatting>
  <dataValidations count="1">
    <dataValidation sqref="D3:D1000" showDropDown="0" showInputMessage="0" showErrorMessage="0" allowBlank="1" type="list">
      <formula1>"Cobrado,Pendiente,Cancelado"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2" customWidth="1" min="4" max="4"/>
  </cols>
  <sheetData>
    <row r="1" ht="30" customHeight="1">
      <c r="A1" s="1" t="inlineStr">
        <is>
          <t>PATRIMONIO NETO - ACTIVOS Y PASIVOS</t>
        </is>
      </c>
    </row>
    <row r="3">
      <c r="A3" s="11" t="inlineStr">
        <is>
          <t>ACTIVOS</t>
        </is>
      </c>
    </row>
    <row r="4">
      <c r="A4" s="7" t="inlineStr">
        <is>
          <t>Concepto</t>
        </is>
      </c>
      <c r="B4" s="7" t="inlineStr">
        <is>
          <t>Valor Actual (EUR)</t>
        </is>
      </c>
      <c r="C4" s="7" t="inlineStr">
        <is>
          <t>Notas</t>
        </is>
      </c>
    </row>
    <row r="5">
      <c r="A5" s="10" t="inlineStr">
        <is>
          <t>Cuenta Bancaria Corriente</t>
        </is>
      </c>
      <c r="B5" s="17" t="n">
        <v>0</v>
      </c>
      <c r="C5" s="10" t="inlineStr">
        <is>
          <t>Saldo en cuenta corriente</t>
        </is>
      </c>
    </row>
    <row r="6">
      <c r="A6" s="5" t="inlineStr">
        <is>
          <t>Fondo de Ahorro</t>
        </is>
      </c>
      <c r="B6" s="19" t="n">
        <v>0</v>
      </c>
      <c r="C6" s="5" t="inlineStr">
        <is>
          <t>Ahorro acumulado</t>
        </is>
      </c>
    </row>
    <row r="7">
      <c r="A7" s="10" t="inlineStr">
        <is>
          <t>Bankroll Trading</t>
        </is>
      </c>
      <c r="B7" s="17" t="n">
        <v>0</v>
      </c>
      <c r="C7" s="10" t="inlineStr">
        <is>
          <t>Capital para trading</t>
        </is>
      </c>
    </row>
    <row r="8">
      <c r="A8" s="5" t="inlineStr">
        <is>
          <t>Capital en Plataformas</t>
        </is>
      </c>
      <c r="B8" s="19" t="n">
        <v>0</v>
      </c>
      <c r="C8" s="5" t="inlineStr">
        <is>
          <t>Fondos en brokers/prop firms</t>
        </is>
      </c>
    </row>
    <row r="9">
      <c r="A9" s="10" t="inlineStr">
        <is>
          <t>Otros Activos</t>
        </is>
      </c>
      <c r="B9" s="17" t="n">
        <v>0</v>
      </c>
      <c r="C9" s="10" t="inlineStr">
        <is>
          <t>Otros activos</t>
        </is>
      </c>
    </row>
    <row r="10">
      <c r="A10" s="11" t="inlineStr">
        <is>
          <t>TOTAL ACTIVOS</t>
        </is>
      </c>
      <c r="B10" s="29">
        <f>SUM(B5:B9)</f>
        <v/>
      </c>
    </row>
    <row r="12">
      <c r="A12" s="12" t="inlineStr">
        <is>
          <t>PASIVOS / DEUDAS</t>
        </is>
      </c>
    </row>
    <row r="13">
      <c r="A13" s="7" t="inlineStr">
        <is>
          <t>Concepto</t>
        </is>
      </c>
      <c r="B13" s="7" t="inlineStr">
        <is>
          <t>Valor Actual (EUR)</t>
        </is>
      </c>
      <c r="C13" s="7" t="inlineStr">
        <is>
          <t>Notas</t>
        </is>
      </c>
    </row>
    <row r="14">
      <c r="A14" s="10" t="inlineStr">
        <is>
          <t>Deudas personales</t>
        </is>
      </c>
      <c r="B14" s="17" t="n">
        <v>0</v>
      </c>
      <c r="C14" s="10" t="inlineStr"/>
    </row>
    <row r="15">
      <c r="A15" s="5" t="inlineStr">
        <is>
          <t>Financiaciones pendientes</t>
        </is>
      </c>
      <c r="B15" s="19" t="n">
        <v>0</v>
      </c>
      <c r="C15" s="5" t="inlineStr"/>
    </row>
    <row r="16">
      <c r="A16" s="10" t="inlineStr">
        <is>
          <t>Otros pasivos</t>
        </is>
      </c>
      <c r="B16" s="17" t="n">
        <v>0</v>
      </c>
      <c r="C16" s="10" t="inlineStr"/>
    </row>
    <row r="17">
      <c r="A17" s="12" t="inlineStr">
        <is>
          <t>TOTAL PASIVOS</t>
        </is>
      </c>
      <c r="B17" s="30">
        <f>SUM(B14:B16)</f>
        <v/>
      </c>
    </row>
    <row r="19">
      <c r="A19" s="1" t="inlineStr">
        <is>
          <t>PATRIMONIO NETO</t>
        </is>
      </c>
    </row>
    <row r="20">
      <c r="A20" s="4" t="inlineStr">
        <is>
          <t>PATRIMONIO NETO = Activos - Pasivos</t>
        </is>
      </c>
      <c r="B20" s="21">
        <f>B10-B17</f>
        <v/>
      </c>
    </row>
    <row r="22">
      <c r="A22" s="1" t="inlineStr">
        <is>
          <t>EVOLUCION HISTORICA DEL PATRIMONIO</t>
        </is>
      </c>
    </row>
    <row r="23">
      <c r="A23" s="7" t="inlineStr">
        <is>
          <t>Mes</t>
        </is>
      </c>
      <c r="B23" s="7" t="inlineStr">
        <is>
          <t>Activos (EUR)</t>
        </is>
      </c>
      <c r="C23" s="7" t="inlineStr">
        <is>
          <t>Pasivos (EUR)</t>
        </is>
      </c>
      <c r="D23" s="7" t="inlineStr">
        <is>
          <t>Patrimonio Neto (EUR)</t>
        </is>
      </c>
    </row>
  </sheetData>
  <mergeCells count="7">
    <mergeCell ref="A1:D1"/>
    <mergeCell ref="A17"/>
    <mergeCell ref="A22:D22"/>
    <mergeCell ref="A12:D12"/>
    <mergeCell ref="A3:D3"/>
    <mergeCell ref="A10"/>
    <mergeCell ref="A19:D19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3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20" customWidth="1" min="3" max="3"/>
  </cols>
  <sheetData>
    <row r="1" ht="30" customHeight="1">
      <c r="A1" s="1" t="inlineStr">
        <is>
          <t>FONDO DE EMERGENCIA - COBERTURA FINANCIERA</t>
        </is>
      </c>
    </row>
    <row r="3">
      <c r="A3" s="9" t="inlineStr">
        <is>
          <t>Gastos fijos mensuales</t>
        </is>
      </c>
      <c r="B3" s="17" t="n">
        <v>1575</v>
      </c>
    </row>
    <row r="4">
      <c r="A4" s="8" t="inlineStr">
        <is>
          <t>Objetivo 3 meses</t>
        </is>
      </c>
      <c r="B4" s="19" t="n">
        <v>4725</v>
      </c>
    </row>
    <row r="5">
      <c r="A5" s="9" t="inlineStr">
        <is>
          <t>Objetivo 6 meses (recomendado)</t>
        </is>
      </c>
      <c r="B5" s="17" t="n">
        <v>9450</v>
      </c>
    </row>
    <row r="6">
      <c r="A6" s="8" t="inlineStr">
        <is>
          <t>Objetivo 12 meses (optimo)</t>
        </is>
      </c>
      <c r="B6" s="19" t="n">
        <v>18900</v>
      </c>
    </row>
    <row r="8">
      <c r="A8" s="1" t="inlineStr">
        <is>
          <t>TU FONDO DE EMERGENCIA ACTUAL (edita la celda dorada)</t>
        </is>
      </c>
    </row>
    <row r="9">
      <c r="A9" s="9" t="inlineStr">
        <is>
          <t>Capital actual fondo emergencia:</t>
        </is>
      </c>
      <c r="B9" s="25" t="n">
        <v>500</v>
      </c>
    </row>
    <row r="10">
      <c r="A10" s="9" t="inlineStr">
        <is>
          <t>Meses cubiertos actualmente</t>
        </is>
      </c>
      <c r="B10" s="31">
        <f>B9/1575</f>
        <v/>
      </c>
    </row>
    <row r="11">
      <c r="A11" s="8" t="inlineStr">
        <is>
          <t>% cobertura objetivo 6 meses</t>
        </is>
      </c>
      <c r="B11" s="20">
        <f>B9/9450</f>
        <v/>
      </c>
    </row>
    <row r="12">
      <c r="A12" s="9" t="inlineStr">
        <is>
          <t>% cobertura objetivo 12 meses</t>
        </is>
      </c>
      <c r="B12" s="18">
        <f>B9/18900</f>
        <v/>
      </c>
    </row>
    <row r="13">
      <c r="A13" s="8" t="inlineStr">
        <is>
          <t>Faltan para 6 meses</t>
        </is>
      </c>
      <c r="B13" s="19">
        <f>9450-B9</f>
        <v/>
      </c>
    </row>
    <row r="14">
      <c r="A14" s="9" t="inlineStr">
        <is>
          <t>Faltan para 12 meses</t>
        </is>
      </c>
      <c r="B14" s="17">
        <f>18900-B9</f>
        <v/>
      </c>
    </row>
    <row r="16">
      <c r="A16" s="9" t="inlineStr">
        <is>
          <t>Progreso hacia 6 meses:</t>
        </is>
      </c>
      <c r="B16" s="10">
        <f>TEXT(MIN(B11,1),"0.0%")&amp;" completado (objetivo: 9,450 EUR)"</f>
        <v/>
      </c>
    </row>
    <row r="17">
      <c r="A17" s="9" t="inlineStr">
        <is>
          <t>Resumen estado:</t>
        </is>
      </c>
      <c r="B17" s="2">
        <f>IF(B11&gt;=1,"OBJETIVO 6 MESES ALCANZADO",IF(B11&gt;=0.5,"MAS DE LA MITAD COMPLETADO","EN PROGRESO - SIGUE APORTANDO"))</f>
        <v/>
      </c>
    </row>
    <row r="19">
      <c r="A19" s="1" t="inlineStr">
        <is>
          <t>HITOS DEL FONDO DE EMERGENCIA</t>
        </is>
      </c>
    </row>
    <row r="20">
      <c r="A20" s="10" t="inlineStr">
        <is>
          <t>Objetivo 1 mes: 1,575 EUR</t>
        </is>
      </c>
    </row>
    <row r="21">
      <c r="A21" s="10" t="inlineStr">
        <is>
          <t>Objetivo 3 meses: 4,725 EUR</t>
        </is>
      </c>
    </row>
    <row r="22">
      <c r="A22" s="10" t="inlineStr">
        <is>
          <t>Objetivo 6 meses: 9,450 EUR</t>
        </is>
      </c>
    </row>
    <row r="23">
      <c r="A23" s="10" t="inlineStr">
        <is>
          <t>Objetivo 12 meses: 18,900 EUR</t>
        </is>
      </c>
    </row>
  </sheetData>
  <mergeCells count="3">
    <mergeCell ref="A1:D1"/>
    <mergeCell ref="A8:D8"/>
    <mergeCell ref="A19:D19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8" customWidth="1" min="5" max="5"/>
    <col width="30" customWidth="1" min="6" max="6"/>
  </cols>
  <sheetData>
    <row r="1" ht="30" customHeight="1">
      <c r="A1" s="1" t="inlineStr">
        <is>
          <t>OBJETIVOS FINANCIEROS ANUALES 2026</t>
        </is>
      </c>
    </row>
    <row r="2">
      <c r="A2" s="7" t="inlineStr">
        <is>
          <t>Objetivo</t>
        </is>
      </c>
      <c r="B2" s="7" t="inlineStr">
        <is>
          <t>Meta Anual (EUR)</t>
        </is>
      </c>
      <c r="C2" s="7" t="inlineStr">
        <is>
          <t>Actual (EUR)</t>
        </is>
      </c>
      <c r="D2" s="7" t="inlineStr">
        <is>
          <t>Diferencia (EUR)</t>
        </is>
      </c>
      <c r="E2" s="7" t="inlineStr">
        <is>
          <t>% Cumplimiento</t>
        </is>
      </c>
      <c r="F2" s="7" t="inlineStr">
        <is>
          <t>Estado</t>
        </is>
      </c>
    </row>
    <row r="3">
      <c r="A3" s="8" t="inlineStr">
        <is>
          <t>Ahorro anual</t>
        </is>
      </c>
      <c r="B3" s="19" t="n">
        <v>2400</v>
      </c>
      <c r="C3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MOVIMIENTOS'!$E$3:$E$500="Ahorro")*('REGISTRO DE MOVIMIENTOS'!$H$3:$H$500))</f>
        <v/>
      </c>
      <c r="D3" s="19">
        <f>C3-B3</f>
        <v/>
      </c>
      <c r="E3" s="20">
        <f>IFERROR(C3/B3,0)</f>
        <v/>
      </c>
      <c r="F3" s="5">
        <f>TEXT(IFERROR(C3/B3,0),"0.0%")&amp;IF(IFERROR(C3/B3,0)&gt;=1," COMPLETADO",IF(IFERROR(C3/B3,0)&gt;=0.5," EN BUEN CAMINO"," EN PROGRESO"))</f>
        <v/>
      </c>
    </row>
    <row r="4">
      <c r="A4" s="9" t="inlineStr">
        <is>
          <t>Bankroll anual</t>
        </is>
      </c>
      <c r="B4" s="17" t="n">
        <v>2400</v>
      </c>
      <c r="C4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MOVIMIENTOS'!$E$3:$E$500="Bankroll")*('REGISTRO DE MOVIMIENTOS'!$H$3:$H$500))</f>
        <v/>
      </c>
      <c r="D4" s="17">
        <f>C4-B4</f>
        <v/>
      </c>
      <c r="E4" s="18">
        <f>IFERROR(C4/B4,0)</f>
        <v/>
      </c>
      <c r="F4" s="10">
        <f>TEXT(IFERROR(C4/B4,0),"0.0%")&amp;IF(IFERROR(C4/B4,0)&gt;=1," COMPLETADO",IF(IFERROR(C4/B4,0)&gt;=0.5," EN BUEN CAMINO"," EN PROGRESO"))</f>
        <v/>
      </c>
    </row>
    <row r="5">
      <c r="A5" s="8" t="inlineStr">
        <is>
          <t>Patrimonio anual</t>
        </is>
      </c>
      <c r="B5" s="19" t="n">
        <v>5000</v>
      </c>
      <c r="C5" s="19">
        <f>'PATRIMONIO NETO'!B20</f>
        <v/>
      </c>
      <c r="D5" s="19">
        <f>C5-B5</f>
        <v/>
      </c>
      <c r="E5" s="20">
        <f>IFERROR(C5/B5,0)</f>
        <v/>
      </c>
      <c r="F5" s="5">
        <f>TEXT(IFERROR(C5/B5,0),"0.0%")&amp;IF(IFERROR(C5/B5,0)&gt;=1," COMPLETADO",IF(IFERROR(C5/B5,0)&gt;=0.5," EN BUEN CAMINO"," EN PROGRESO"))</f>
        <v/>
      </c>
    </row>
    <row r="6">
      <c r="A6" s="9" t="inlineStr">
        <is>
          <t>Beneficios trading</t>
        </is>
      </c>
      <c r="B6" s="17" t="n">
        <v>4200</v>
      </c>
      <c r="C6" s="17">
        <f>SUM('DASHBOARD DE TRADING'!C3:C500)</f>
        <v/>
      </c>
      <c r="D6" s="17">
        <f>C6-B6</f>
        <v/>
      </c>
      <c r="E6" s="18">
        <f>IFERROR(C6/B6,0)</f>
        <v/>
      </c>
      <c r="F6" s="10">
        <f>TEXT(IFERROR(C6/B6,0),"0.0%")&amp;IF(IFERROR(C6/B6,0)&gt;=1," COMPLETADO",IF(IFERROR(C6/B6,0)&gt;=0.5," EN BUEN CAMINO"," EN PROGRESO"))</f>
        <v/>
      </c>
    </row>
  </sheetData>
  <mergeCells count="1">
    <mergeCell ref="A1:F1"/>
  </mergeCells>
  <conditionalFormatting sqref="E3:E10">
    <cfRule type="cellIs" priority="1" operator="greaterThanOrEqual" dxfId="2">
      <formula>0.75</formula>
    </cfRule>
    <cfRule type="cellIs" priority="2" operator="between" dxfId="1">
      <formula>0.5</formula>
      <formula>0.75</formula>
    </cfRule>
    <cfRule type="cellIs" priority="3" operator="lessThan" dxfId="0">
      <formula>0.5</formula>
    </cfRule>
  </conditionalFormatting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52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2" customWidth="1" min="3" max="3"/>
    <col width="28" customWidth="1" min="4" max="4"/>
    <col width="12" customWidth="1" min="5" max="5"/>
    <col width="12" customWidth="1" min="6" max="6"/>
    <col width="14" customWidth="1" min="7" max="7"/>
  </cols>
  <sheetData>
    <row r="1" ht="30" customHeight="1">
      <c r="A1" s="1" t="inlineStr">
        <is>
          <t>GASTOS HORMIGA - CONTROL DE PEQUENOS GASTOS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Categoria</t>
        </is>
      </c>
      <c r="D2" s="7" t="inlineStr">
        <is>
          <t>Descripcion</t>
        </is>
      </c>
      <c r="E2" s="7" t="inlineStr">
        <is>
          <t>Importe (EUR)</t>
        </is>
      </c>
      <c r="F2" s="7" t="inlineStr">
        <is>
          <t>% Ingreso</t>
        </is>
      </c>
      <c r="G2" s="7" t="inlineStr">
        <is>
          <t>Alerta</t>
        </is>
      </c>
    </row>
    <row r="502">
      <c r="A502" s="1" t="inlineStr">
        <is>
          <t>RESUMEN POR CATEGORIA - JUNIO 2026</t>
        </is>
      </c>
    </row>
    <row r="503">
      <c r="A503" s="7" t="inlineStr">
        <is>
          <t>Categoria</t>
        </is>
      </c>
      <c r="B503" s="7" t="inlineStr">
        <is>
          <t>Total Mes (EUR)</t>
        </is>
      </c>
      <c r="C503" s="7" t="inlineStr">
        <is>
          <t>% Ingreso</t>
        </is>
      </c>
      <c r="D503" s="7" t="inlineStr">
        <is>
          <t>Limite 5%</t>
        </is>
      </c>
      <c r="E503" s="7" t="inlineStr">
        <is>
          <t>Estado</t>
        </is>
      </c>
    </row>
    <row r="504">
      <c r="A504" s="9" t="inlineStr">
        <is>
          <t>Restaurantes</t>
        </is>
      </c>
      <c r="B504" s="17">
        <f>SUMIF($C$3:$C$500,$A504,$E$3:$E$500)</f>
        <v/>
      </c>
      <c r="C504" s="18">
        <f>B504/'PRESUPUESTO MENSUAL'!$D$3</f>
        <v/>
      </c>
      <c r="D504" s="24" t="inlineStr">
        <is>
          <t>5% limite</t>
        </is>
      </c>
      <c r="E504">
        <f>IF(B504&gt;'PRESUPUESTO MENSUAL'!$D$3*0.05,"EXCEDIDO","OK")</f>
        <v/>
      </c>
    </row>
    <row r="505">
      <c r="A505" s="8" t="inlineStr">
        <is>
          <t>Amazon</t>
        </is>
      </c>
      <c r="B505" s="19">
        <f>SUMIF($C$3:$C$500,$A505,$E$3:$E$500)</f>
        <v/>
      </c>
      <c r="C505" s="20">
        <f>B505/'PRESUPUESTO MENSUAL'!$D$3</f>
        <v/>
      </c>
      <c r="D505" s="23" t="inlineStr">
        <is>
          <t>5% limite</t>
        </is>
      </c>
      <c r="E505">
        <f>IF(B505&gt;'PRESUPUESTO MENSUAL'!$D$3*0.05,"EXCEDIDO","OK")</f>
        <v/>
      </c>
    </row>
    <row r="506">
      <c r="A506" s="9" t="inlineStr">
        <is>
          <t>Ocio</t>
        </is>
      </c>
      <c r="B506" s="17">
        <f>SUMIF($C$3:$C$500,$A506,$E$3:$E$500)</f>
        <v/>
      </c>
      <c r="C506" s="18">
        <f>B506/'PRESUPUESTO MENSUAL'!$D$3</f>
        <v/>
      </c>
      <c r="D506" s="24" t="inlineStr">
        <is>
          <t>5% limite</t>
        </is>
      </c>
      <c r="E506">
        <f>IF(B506&gt;'PRESUPUESTO MENSUAL'!$D$3*0.05,"EXCEDIDO","OK")</f>
        <v/>
      </c>
    </row>
    <row r="507">
      <c r="A507" s="8" t="inlineStr">
        <is>
          <t>Suscripciones</t>
        </is>
      </c>
      <c r="B507" s="19">
        <f>SUMIF($C$3:$C$500,$A507,$E$3:$E$500)</f>
        <v/>
      </c>
      <c r="C507" s="20">
        <f>B507/'PRESUPUESTO MENSUAL'!$D$3</f>
        <v/>
      </c>
      <c r="D507" s="23" t="inlineStr">
        <is>
          <t>5% limite</t>
        </is>
      </c>
      <c r="E507">
        <f>IF(B507&gt;'PRESUPUESTO MENSUAL'!$D$3*0.05,"EXCEDIDO","OK")</f>
        <v/>
      </c>
    </row>
    <row r="508">
      <c r="A508" s="9" t="inlineStr">
        <is>
          <t>Compras impulsivas</t>
        </is>
      </c>
      <c r="B508" s="17">
        <f>SUMIF($C$3:$C$500,$A508,$E$3:$E$500)</f>
        <v/>
      </c>
      <c r="C508" s="18">
        <f>B508/'PRESUPUESTO MENSUAL'!$D$3</f>
        <v/>
      </c>
      <c r="D508" s="24" t="inlineStr">
        <is>
          <t>5% limite</t>
        </is>
      </c>
      <c r="E508">
        <f>IF(B508&gt;'PRESUPUESTO MENSUAL'!$D$3*0.05,"EXCEDIDO","OK")</f>
        <v/>
      </c>
    </row>
    <row r="512">
      <c r="A512" s="3" t="inlineStr">
        <is>
          <t>GASTOS DEL MES ACTUAL POR CATEGORIA  (automatico desde REGISTRO DE MOVIMIENTOS)</t>
        </is>
      </c>
    </row>
    <row r="513">
      <c r="A513" s="7" t="inlineStr">
        <is>
          <t>Categoria</t>
        </is>
      </c>
      <c r="B513" s="7" t="inlineStr">
        <is>
          <t>Mes Actual (EUR)</t>
        </is>
      </c>
      <c r="C513" s="7" t="inlineStr">
        <is>
          <t>% Ingreso</t>
        </is>
      </c>
      <c r="D513" s="7" t="inlineStr">
        <is>
          <t>Acumulado 2026 (EUR)</t>
        </is>
      </c>
      <c r="E513" s="7" t="inlineStr">
        <is>
          <t>Limite 5%</t>
        </is>
      </c>
    </row>
    <row r="514">
      <c r="A514" s="9" t="inlineStr">
        <is>
          <t>Supermercado</t>
        </is>
      </c>
      <c r="B514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MOVIMIENTOS'!$E$3:$E$500="Supermercado")*('REGISTRO DE MOVIMIENTOS'!$H$3:$H$500))</f>
        <v/>
      </c>
      <c r="C514" s="18">
        <f>B514/'PRESUPUESTO MENSUAL'!$D$3</f>
        <v/>
      </c>
      <c r="D514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MOVIMIENTOS'!$E$3:$E$500="Supermercado")*('REGISTRO DE MOVIMIENTOS'!$H$3:$H$500))</f>
        <v/>
      </c>
      <c r="E514" s="24">
        <f>IF(B514&gt;'PRESUPUESTO MENSUAL'!$D$3*0.05,"EXCEDIDO","OK")</f>
        <v/>
      </c>
    </row>
    <row r="515">
      <c r="A515" s="8" t="inlineStr">
        <is>
          <t>Restaurante</t>
        </is>
      </c>
      <c r="B515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MOVIMIENTOS'!$E$3:$E$500="Restaurante")*('REGISTRO DE MOVIMIENTOS'!$H$3:$H$500))</f>
        <v/>
      </c>
      <c r="C515" s="20">
        <f>B515/'PRESUPUESTO MENSUAL'!$D$3</f>
        <v/>
      </c>
      <c r="D515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MOVIMIENTOS'!$E$3:$E$500="Restaurante")*('REGISTRO DE MOVIMIENTOS'!$H$3:$H$500))</f>
        <v/>
      </c>
      <c r="E515" s="23">
        <f>IF(B515&gt;'PRESUPUESTO MENSUAL'!$D$3*0.05,"EXCEDIDO","OK")</f>
        <v/>
      </c>
    </row>
    <row r="516">
      <c r="A516" s="9" t="inlineStr">
        <is>
          <t>Cafeteria/Bar</t>
        </is>
      </c>
      <c r="B516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MOVIMIENTOS'!$E$3:$E$500="Cafeteria/Bar")*('REGISTRO DE MOVIMIENTOS'!$H$3:$H$500))</f>
        <v/>
      </c>
      <c r="C516" s="18">
        <f>B516/'PRESUPUESTO MENSUAL'!$D$3</f>
        <v/>
      </c>
      <c r="D516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MOVIMIENTOS'!$E$3:$E$500="Cafeteria/Bar")*('REGISTRO DE MOVIMIENTOS'!$H$3:$H$500))</f>
        <v/>
      </c>
      <c r="E516" s="24">
        <f>IF(B516&gt;'PRESUPUESTO MENSUAL'!$D$3*0.05,"EXCEDIDO","OK")</f>
        <v/>
      </c>
    </row>
    <row r="517">
      <c r="A517" s="8" t="inlineStr">
        <is>
          <t>Ocio/Entretenimiento</t>
        </is>
      </c>
      <c r="B517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MOVIMIENTOS'!$E$3:$E$500="Ocio/Entretenimiento")*('REGISTRO DE MOVIMIENTOS'!$H$3:$H$500))</f>
        <v/>
      </c>
      <c r="C517" s="20">
        <f>B517/'PRESUPUESTO MENSUAL'!$D$3</f>
        <v/>
      </c>
      <c r="D517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MOVIMIENTOS'!$E$3:$E$500="Ocio/Entretenimiento")*('REGISTRO DE MOVIMIENTOS'!$H$3:$H$500))</f>
        <v/>
      </c>
      <c r="E517" s="23">
        <f>IF(B517&gt;'PRESUPUESTO MENSUAL'!$D$3*0.05,"EXCEDIDO","OK")</f>
        <v/>
      </c>
    </row>
    <row r="518">
      <c r="A518" s="9" t="inlineStr">
        <is>
          <t>Ropa/Calzado</t>
        </is>
      </c>
      <c r="B518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MOVIMIENTOS'!$E$3:$E$500="Ropa/Calzado")*('REGISTRO DE MOVIMIENTOS'!$H$3:$H$500))</f>
        <v/>
      </c>
      <c r="C518" s="18">
        <f>B518/'PRESUPUESTO MENSUAL'!$D$3</f>
        <v/>
      </c>
      <c r="D518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MOVIMIENTOS'!$E$3:$E$500="Ropa/Calzado")*('REGISTRO DE MOVIMIENTOS'!$H$3:$H$500))</f>
        <v/>
      </c>
      <c r="E518" s="24">
        <f>IF(B518&gt;'PRESUPUESTO MENSUAL'!$D$3*0.05,"EXCEDIDO","OK")</f>
        <v/>
      </c>
    </row>
    <row r="519">
      <c r="A519" s="8" t="inlineStr">
        <is>
          <t>Electronica/Amazon</t>
        </is>
      </c>
      <c r="B519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MOVIMIENTOS'!$E$3:$E$500="Electronica/Amazon")*('REGISTRO DE MOVIMIENTOS'!$H$3:$H$500))</f>
        <v/>
      </c>
      <c r="C519" s="20">
        <f>B519/'PRESUPUESTO MENSUAL'!$D$3</f>
        <v/>
      </c>
      <c r="D519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MOVIMIENTOS'!$E$3:$E$500="Electronica/Amazon")*('REGISTRO DE MOVIMIENTOS'!$H$3:$H$500))</f>
        <v/>
      </c>
      <c r="E519" s="23">
        <f>IF(B519&gt;'PRESUPUESTO MENSUAL'!$D$3*0.05,"EXCEDIDO","OK")</f>
        <v/>
      </c>
    </row>
    <row r="520">
      <c r="A520" s="9" t="inlineStr">
        <is>
          <t>Farmacia/Salud</t>
        </is>
      </c>
      <c r="B520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MOVIMIENTOS'!$E$3:$E$500="Farmacia/Salud")*('REGISTRO DE MOVIMIENTOS'!$H$3:$H$500))</f>
        <v/>
      </c>
      <c r="C520" s="18">
        <f>B520/'PRESUPUESTO MENSUAL'!$D$3</f>
        <v/>
      </c>
      <c r="D520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MOVIMIENTOS'!$E$3:$E$500="Farmacia/Salud")*('REGISTRO DE MOVIMIENTOS'!$H$3:$H$500))</f>
        <v/>
      </c>
      <c r="E520" s="24">
        <f>IF(B520&gt;'PRESUPUESTO MENSUAL'!$D$3*0.05,"EXCEDIDO","OK")</f>
        <v/>
      </c>
    </row>
    <row r="521">
      <c r="A521" s="8" t="inlineStr">
        <is>
          <t>Peluqueria/Estetica</t>
        </is>
      </c>
      <c r="B521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MOVIMIENTOS'!$E$3:$E$500="Peluqueria/Estetica")*('REGISTRO DE MOVIMIENTOS'!$H$3:$H$500))</f>
        <v/>
      </c>
      <c r="C521" s="20">
        <f>B521/'PRESUPUESTO MENSUAL'!$D$3</f>
        <v/>
      </c>
      <c r="D521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MOVIMIENTOS'!$E$3:$E$500="Peluqueria/Estetica")*('REGISTRO DE MOVIMIENTOS'!$H$3:$H$500))</f>
        <v/>
      </c>
      <c r="E521" s="23">
        <f>IF(B521&gt;'PRESUPUESTO MENSUAL'!$D$3*0.05,"EXCEDIDO","OK")</f>
        <v/>
      </c>
    </row>
    <row r="522">
      <c r="A522" s="9" t="inlineStr">
        <is>
          <t>Hogar</t>
        </is>
      </c>
      <c r="B522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MOVIMIENTOS'!$E$3:$E$500="Hogar")*('REGISTRO DE MOVIMIENTOS'!$H$3:$H$500))</f>
        <v/>
      </c>
      <c r="C522" s="18">
        <f>B522/'PRESUPUESTO MENSUAL'!$D$3</f>
        <v/>
      </c>
      <c r="D522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MOVIMIENTOS'!$E$3:$E$500="Hogar")*('REGISTRO DE MOVIMIENTOS'!$H$3:$H$500))</f>
        <v/>
      </c>
      <c r="E522" s="24">
        <f>IF(B522&gt;'PRESUPUESTO MENSUAL'!$D$3*0.05,"EXCEDIDO","OK")</f>
        <v/>
      </c>
    </row>
    <row r="523">
      <c r="A523" s="8" t="inlineStr">
        <is>
          <t>Formacion/Suscripciones</t>
        </is>
      </c>
      <c r="B523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MOVIMIENTOS'!$E$3:$E$500="Formacion/Suscripciones")*('REGISTRO DE MOVIMIENTOS'!$H$3:$H$500))</f>
        <v/>
      </c>
      <c r="C523" s="20">
        <f>B523/'PRESUPUESTO MENSUAL'!$D$3</f>
        <v/>
      </c>
      <c r="D523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MOVIMIENTOS'!$E$3:$E$500="Formacion/Suscripciones")*('REGISTRO DE MOVIMIENTOS'!$H$3:$H$500))</f>
        <v/>
      </c>
      <c r="E523" s="23">
        <f>IF(B523&gt;'PRESUPUESTO MENSUAL'!$D$3*0.05,"EXCEDIDO","OK")</f>
        <v/>
      </c>
    </row>
    <row r="524">
      <c r="A524" s="9" t="inlineStr">
        <is>
          <t>Software/Apps</t>
        </is>
      </c>
      <c r="B524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MOVIMIENTOS'!$E$3:$E$500="Software/Apps")*('REGISTRO DE MOVIMIENTOS'!$H$3:$H$500))</f>
        <v/>
      </c>
      <c r="C524" s="18">
        <f>B524/'PRESUPUESTO MENSUAL'!$D$3</f>
        <v/>
      </c>
      <c r="D524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MOVIMIENTOS'!$E$3:$E$500="Software/Apps")*('REGISTRO DE MOVIMIENTOS'!$H$3:$H$500))</f>
        <v/>
      </c>
      <c r="E524" s="24">
        <f>IF(B524&gt;'PRESUPUESTO MENSUAL'!$D$3*0.05,"EXCEDIDO","OK")</f>
        <v/>
      </c>
    </row>
    <row r="525">
      <c r="A525" s="8" t="inlineStr">
        <is>
          <t>Otros</t>
        </is>
      </c>
      <c r="B525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MOVIMIENTOS'!$E$3:$E$500="Otros")*('REGISTRO DE MOVIMIENTOS'!$H$3:$H$500))</f>
        <v/>
      </c>
      <c r="C525" s="20">
        <f>B525/'PRESUPUESTO MENSUAL'!$D$3</f>
        <v/>
      </c>
      <c r="D525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MOVIMIENTOS'!$E$3:$E$500="Otros")*('REGISTRO DE MOVIMIENTOS'!$H$3:$H$500))</f>
        <v/>
      </c>
      <c r="E525" s="23">
        <f>IF(B525&gt;'PRESUPUESTO MENSUAL'!$D$3*0.05,"EXCEDIDO","OK")</f>
        <v/>
      </c>
    </row>
    <row r="526">
      <c r="A526" s="4" t="inlineStr">
        <is>
          <t>TOTAL GASTOS VARIABLES DEL MES</t>
        </is>
      </c>
      <c r="B526" s="21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MOVIMIENTOS'!$H$3:$H$500))</f>
        <v/>
      </c>
      <c r="C526" s="22">
        <f>B526/'PRESUPUESTO MENSUAL'!$D$3</f>
        <v/>
      </c>
      <c r="D526" s="21">
        <f>SUMPRODUCT((ISNUMBER('REGISTRO DE MOVIMIENTOS'!$A$3:$A$500))*(YEAR(IF(ISNUMBER('REGISTRO DE MOVIMIENTOS'!$A$3:$A$500),'REGISTRO DE MOVIMIENTOS'!$A$3:$A$500,TODAY()))=2026)*('REGISTRO DE MOVIMIENTOS'!$D$3:$D$500="Gasto")*('REGISTRO DE MOVIMIENTOS'!$H$3:$H$500))</f>
        <v/>
      </c>
    </row>
  </sheetData>
  <mergeCells count="3">
    <mergeCell ref="A512:E512"/>
    <mergeCell ref="A502:G502"/>
    <mergeCell ref="A1:G1"/>
  </mergeCells>
  <dataValidations count="1">
    <dataValidation sqref="C3:C1000" showDropDown="0" showInputMessage="0" showErrorMessage="0" allowBlank="1" type="list">
      <formula1>"Restaurantes,Amazon,Ocio,Compras impulsivas,Suscripciones,Otros"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007BFF"/>
    <outlinePr summaryBelow="1" summaryRight="1"/>
    <pageSetUpPr fitToPage="1"/>
  </sheetPr>
  <dimension ref="A1:O43"/>
  <sheetViews>
    <sheetView showGridLines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  <col width="11" customWidth="1" min="15" max="15"/>
  </cols>
  <sheetData>
    <row r="1" ht="30" customHeight="1">
      <c r="A1" s="1" t="inlineStr">
        <is>
          <t>COMPARATIVA MENSUAL 2026 - EVOLUCION MES A MES (automatico desde REGISTRO DE MOVIMIENTOS)</t>
        </is>
      </c>
    </row>
    <row r="2" ht="18" customHeight="1">
      <c r="A2" s="2" t="inlineStr">
        <is>
          <t>Cada columna es un mes. Los datos se rellenan solos cuando introduces registros con la fecha correcta.</t>
        </is>
      </c>
    </row>
    <row r="4" ht="20" customHeight="1">
      <c r="A4" s="7" t="inlineStr">
        <is>
          <t>Categoria / Concepto</t>
        </is>
      </c>
      <c r="B4" s="7" t="inlineStr">
        <is>
          <t>Ene</t>
        </is>
      </c>
      <c r="C4" s="7" t="inlineStr">
        <is>
          <t>Feb</t>
        </is>
      </c>
      <c r="D4" s="7" t="inlineStr">
        <is>
          <t>Mar</t>
        </is>
      </c>
      <c r="E4" s="7" t="inlineStr">
        <is>
          <t>Abr</t>
        </is>
      </c>
      <c r="F4" s="7" t="inlineStr">
        <is>
          <t>May</t>
        </is>
      </c>
      <c r="G4" s="7" t="inlineStr">
        <is>
          <t>Jun</t>
        </is>
      </c>
      <c r="H4" s="7" t="inlineStr">
        <is>
          <t>Jul</t>
        </is>
      </c>
      <c r="I4" s="7" t="inlineStr">
        <is>
          <t>Ago</t>
        </is>
      </c>
      <c r="J4" s="7" t="inlineStr">
        <is>
          <t>Sep</t>
        </is>
      </c>
      <c r="K4" s="7" t="inlineStr">
        <is>
          <t>Oct</t>
        </is>
      </c>
      <c r="L4" s="7" t="inlineStr">
        <is>
          <t>Nov</t>
        </is>
      </c>
      <c r="M4" s="7" t="inlineStr">
        <is>
          <t>Dic</t>
        </is>
      </c>
      <c r="N4" s="7" t="inlineStr">
        <is>
          <t>TOTAL 2026</t>
        </is>
      </c>
      <c r="O4" s="7" t="inlineStr">
        <is>
          <t>MEDIA/mes</t>
        </is>
      </c>
    </row>
    <row r="5">
      <c r="A5" s="11" t="inlineStr">
        <is>
          <t>INGRESOS</t>
        </is>
      </c>
    </row>
    <row r="6">
      <c r="A6" s="5" t="inlineStr">
        <is>
          <t>Nomina</t>
        </is>
      </c>
      <c r="B6" s="19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MOVIMIENTOS'!$D$3:$D$500="Ingreso")*('REGISTRO DE MOVIMIENTOS'!$E$3:$E$500="Nomina")*('REGISTRO DE MOVIMIENTOS'!$H$3:$H$500))</f>
        <v/>
      </c>
      <c r="C6" s="19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MOVIMIENTOS'!$D$3:$D$500="Ingreso")*('REGISTRO DE MOVIMIENTOS'!$E$3:$E$500="Nomina")*('REGISTRO DE MOVIMIENTOS'!$H$3:$H$500))</f>
        <v/>
      </c>
      <c r="D6" s="19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MOVIMIENTOS'!$D$3:$D$500="Ingreso")*('REGISTRO DE MOVIMIENTOS'!$E$3:$E$500="Nomina")*('REGISTRO DE MOVIMIENTOS'!$H$3:$H$500))</f>
        <v/>
      </c>
      <c r="E6" s="19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MOVIMIENTOS'!$D$3:$D$500="Ingreso")*('REGISTRO DE MOVIMIENTOS'!$E$3:$E$500="Nomina")*('REGISTRO DE MOVIMIENTOS'!$H$3:$H$500))</f>
        <v/>
      </c>
      <c r="F6" s="19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MOVIMIENTOS'!$D$3:$D$500="Ingreso")*('REGISTRO DE MOVIMIENTOS'!$E$3:$E$500="Nomina")*('REGISTRO DE MOVIMIENTOS'!$H$3:$H$500))</f>
        <v/>
      </c>
      <c r="G6" s="19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MOVIMIENTOS'!$D$3:$D$500="Ingreso")*('REGISTRO DE MOVIMIENTOS'!$E$3:$E$500="Nomina")*('REGISTRO DE MOVIMIENTOS'!$H$3:$H$500))</f>
        <v/>
      </c>
      <c r="H6" s="19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MOVIMIENTOS'!$D$3:$D$500="Ingreso")*('REGISTRO DE MOVIMIENTOS'!$E$3:$E$500="Nomina")*('REGISTRO DE MOVIMIENTOS'!$H$3:$H$500))</f>
        <v/>
      </c>
      <c r="I6" s="19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MOVIMIENTOS'!$D$3:$D$500="Ingreso")*('REGISTRO DE MOVIMIENTOS'!$E$3:$E$500="Nomina")*('REGISTRO DE MOVIMIENTOS'!$H$3:$H$500))</f>
        <v/>
      </c>
      <c r="J6" s="19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MOVIMIENTOS'!$D$3:$D$500="Ingreso")*('REGISTRO DE MOVIMIENTOS'!$E$3:$E$500="Nomina")*('REGISTRO DE MOVIMIENTOS'!$H$3:$H$500))</f>
        <v/>
      </c>
      <c r="K6" s="19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MOVIMIENTOS'!$D$3:$D$500="Ingreso")*('REGISTRO DE MOVIMIENTOS'!$E$3:$E$500="Nomina")*('REGISTRO DE MOVIMIENTOS'!$H$3:$H$500))</f>
        <v/>
      </c>
      <c r="L6" s="19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MOVIMIENTOS'!$D$3:$D$500="Ingreso")*('REGISTRO DE MOVIMIENTOS'!$E$3:$E$500="Nomina")*('REGISTRO DE MOVIMIENTOS'!$H$3:$H$500))</f>
        <v/>
      </c>
      <c r="M6" s="19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MOVIMIENTOS'!$D$3:$D$500="Ingreso")*('REGISTRO DE MOVIMIENTOS'!$E$3:$E$500="Nomina")*('REGISTRO DE MOVIMIENTOS'!$H$3:$H$500))</f>
        <v/>
      </c>
      <c r="N6" s="32">
        <f>SUM(B6:M6)</f>
        <v/>
      </c>
      <c r="O6" s="32">
        <f>IFERROR(N6/COUNTIF(B6:M6,"&gt;0"),0)</f>
        <v/>
      </c>
    </row>
    <row r="7">
      <c r="A7" s="5" t="inlineStr">
        <is>
          <t>Trading/Payout</t>
        </is>
      </c>
      <c r="B7" s="19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MOVIMIENTOS'!$D$3:$D$500="Ingreso")*('REGISTRO DE MOVIMIENTOS'!$E$3:$E$500="Trading/Payout")*('REGISTRO DE MOVIMIENTOS'!$H$3:$H$500))</f>
        <v/>
      </c>
      <c r="C7" s="19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MOVIMIENTOS'!$D$3:$D$500="Ingreso")*('REGISTRO DE MOVIMIENTOS'!$E$3:$E$500="Trading/Payout")*('REGISTRO DE MOVIMIENTOS'!$H$3:$H$500))</f>
        <v/>
      </c>
      <c r="D7" s="19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MOVIMIENTOS'!$D$3:$D$500="Ingreso")*('REGISTRO DE MOVIMIENTOS'!$E$3:$E$500="Trading/Payout")*('REGISTRO DE MOVIMIENTOS'!$H$3:$H$500))</f>
        <v/>
      </c>
      <c r="E7" s="19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MOVIMIENTOS'!$D$3:$D$500="Ingreso")*('REGISTRO DE MOVIMIENTOS'!$E$3:$E$500="Trading/Payout")*('REGISTRO DE MOVIMIENTOS'!$H$3:$H$500))</f>
        <v/>
      </c>
      <c r="F7" s="19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MOVIMIENTOS'!$D$3:$D$500="Ingreso")*('REGISTRO DE MOVIMIENTOS'!$E$3:$E$500="Trading/Payout")*('REGISTRO DE MOVIMIENTOS'!$H$3:$H$500))</f>
        <v/>
      </c>
      <c r="G7" s="19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MOVIMIENTOS'!$D$3:$D$500="Ingreso")*('REGISTRO DE MOVIMIENTOS'!$E$3:$E$500="Trading/Payout")*('REGISTRO DE MOVIMIENTOS'!$H$3:$H$500))</f>
        <v/>
      </c>
      <c r="H7" s="19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MOVIMIENTOS'!$D$3:$D$500="Ingreso")*('REGISTRO DE MOVIMIENTOS'!$E$3:$E$500="Trading/Payout")*('REGISTRO DE MOVIMIENTOS'!$H$3:$H$500))</f>
        <v/>
      </c>
      <c r="I7" s="19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MOVIMIENTOS'!$D$3:$D$500="Ingreso")*('REGISTRO DE MOVIMIENTOS'!$E$3:$E$500="Trading/Payout")*('REGISTRO DE MOVIMIENTOS'!$H$3:$H$500))</f>
        <v/>
      </c>
      <c r="J7" s="19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MOVIMIENTOS'!$D$3:$D$500="Ingreso")*('REGISTRO DE MOVIMIENTOS'!$E$3:$E$500="Trading/Payout")*('REGISTRO DE MOVIMIENTOS'!$H$3:$H$500))</f>
        <v/>
      </c>
      <c r="K7" s="19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MOVIMIENTOS'!$D$3:$D$500="Ingreso")*('REGISTRO DE MOVIMIENTOS'!$E$3:$E$500="Trading/Payout")*('REGISTRO DE MOVIMIENTOS'!$H$3:$H$500))</f>
        <v/>
      </c>
      <c r="L7" s="19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MOVIMIENTOS'!$D$3:$D$500="Ingreso")*('REGISTRO DE MOVIMIENTOS'!$E$3:$E$500="Trading/Payout")*('REGISTRO DE MOVIMIENTOS'!$H$3:$H$500))</f>
        <v/>
      </c>
      <c r="M7" s="19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MOVIMIENTOS'!$D$3:$D$500="Ingreso")*('REGISTRO DE MOVIMIENTOS'!$E$3:$E$500="Trading/Payout")*('REGISTRO DE MOVIMIENTOS'!$H$3:$H$500))</f>
        <v/>
      </c>
      <c r="N7" s="32">
        <f>SUM(B7:M7)</f>
        <v/>
      </c>
      <c r="O7" s="32">
        <f>IFERROR(N7/COUNTIF(B7:M7,"&gt;0"),0)</f>
        <v/>
      </c>
    </row>
    <row r="8">
      <c r="A8" s="5" t="inlineStr">
        <is>
          <t>Otro ingreso</t>
        </is>
      </c>
      <c r="B8" s="19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MOVIMIENTOS'!$D$3:$D$500="Ingreso")*('REGISTRO DE MOVIMIENTOS'!$E$3:$E$500="Otro ingreso")*('REGISTRO DE MOVIMIENTOS'!$H$3:$H$500))</f>
        <v/>
      </c>
      <c r="C8" s="19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MOVIMIENTOS'!$D$3:$D$500="Ingreso")*('REGISTRO DE MOVIMIENTOS'!$E$3:$E$500="Otro ingreso")*('REGISTRO DE MOVIMIENTOS'!$H$3:$H$500))</f>
        <v/>
      </c>
      <c r="D8" s="19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MOVIMIENTOS'!$D$3:$D$500="Ingreso")*('REGISTRO DE MOVIMIENTOS'!$E$3:$E$500="Otro ingreso")*('REGISTRO DE MOVIMIENTOS'!$H$3:$H$500))</f>
        <v/>
      </c>
      <c r="E8" s="19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MOVIMIENTOS'!$D$3:$D$500="Ingreso")*('REGISTRO DE MOVIMIENTOS'!$E$3:$E$500="Otro ingreso")*('REGISTRO DE MOVIMIENTOS'!$H$3:$H$500))</f>
        <v/>
      </c>
      <c r="F8" s="19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MOVIMIENTOS'!$D$3:$D$500="Ingreso")*('REGISTRO DE MOVIMIENTOS'!$E$3:$E$500="Otro ingreso")*('REGISTRO DE MOVIMIENTOS'!$H$3:$H$500))</f>
        <v/>
      </c>
      <c r="G8" s="19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MOVIMIENTOS'!$D$3:$D$500="Ingreso")*('REGISTRO DE MOVIMIENTOS'!$E$3:$E$500="Otro ingreso")*('REGISTRO DE MOVIMIENTOS'!$H$3:$H$500))</f>
        <v/>
      </c>
      <c r="H8" s="19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MOVIMIENTOS'!$D$3:$D$500="Ingreso")*('REGISTRO DE MOVIMIENTOS'!$E$3:$E$500="Otro ingreso")*('REGISTRO DE MOVIMIENTOS'!$H$3:$H$500))</f>
        <v/>
      </c>
      <c r="I8" s="19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MOVIMIENTOS'!$D$3:$D$500="Ingreso")*('REGISTRO DE MOVIMIENTOS'!$E$3:$E$500="Otro ingreso")*('REGISTRO DE MOVIMIENTOS'!$H$3:$H$500))</f>
        <v/>
      </c>
      <c r="J8" s="19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MOVIMIENTOS'!$D$3:$D$500="Ingreso")*('REGISTRO DE MOVIMIENTOS'!$E$3:$E$500="Otro ingreso")*('REGISTRO DE MOVIMIENTOS'!$H$3:$H$500))</f>
        <v/>
      </c>
      <c r="K8" s="19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MOVIMIENTOS'!$D$3:$D$500="Ingreso")*('REGISTRO DE MOVIMIENTOS'!$E$3:$E$500="Otro ingreso")*('REGISTRO DE MOVIMIENTOS'!$H$3:$H$500))</f>
        <v/>
      </c>
      <c r="L8" s="19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MOVIMIENTOS'!$D$3:$D$500="Ingreso")*('REGISTRO DE MOVIMIENTOS'!$E$3:$E$500="Otro ingreso")*('REGISTRO DE MOVIMIENTOS'!$H$3:$H$500))</f>
        <v/>
      </c>
      <c r="M8" s="19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MOVIMIENTOS'!$D$3:$D$500="Ingreso")*('REGISTRO DE MOVIMIENTOS'!$E$3:$E$500="Otro ingreso")*('REGISTRO DE MOVIMIENTOS'!$H$3:$H$500))</f>
        <v/>
      </c>
      <c r="N8" s="32">
        <f>SUM(B8:M8)</f>
        <v/>
      </c>
      <c r="O8" s="32">
        <f>IFERROR(N8/COUNTIF(B8:M8,"&gt;0"),0)</f>
        <v/>
      </c>
    </row>
    <row r="9">
      <c r="A9" s="4" t="inlineStr">
        <is>
          <t>TOTAL INGRESOS</t>
        </is>
      </c>
      <c r="B9" s="21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MOVIMIENTOS'!$D$3:$D$500="Ingreso")*('REGISTRO DE MOVIMIENTOS'!$H$3:$H$500))</f>
        <v/>
      </c>
      <c r="C9" s="21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MOVIMIENTOS'!$D$3:$D$500="Ingreso")*('REGISTRO DE MOVIMIENTOS'!$H$3:$H$500))</f>
        <v/>
      </c>
      <c r="D9" s="21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MOVIMIENTOS'!$D$3:$D$500="Ingreso")*('REGISTRO DE MOVIMIENTOS'!$H$3:$H$500))</f>
        <v/>
      </c>
      <c r="E9" s="21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MOVIMIENTOS'!$D$3:$D$500="Ingreso")*('REGISTRO DE MOVIMIENTOS'!$H$3:$H$500))</f>
        <v/>
      </c>
      <c r="F9" s="21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MOVIMIENTOS'!$D$3:$D$500="Ingreso")*('REGISTRO DE MOVIMIENTOS'!$H$3:$H$500))</f>
        <v/>
      </c>
      <c r="G9" s="21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MOVIMIENTOS'!$D$3:$D$500="Ingreso")*('REGISTRO DE MOVIMIENTOS'!$H$3:$H$500))</f>
        <v/>
      </c>
      <c r="H9" s="21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MOVIMIENTOS'!$D$3:$D$500="Ingreso")*('REGISTRO DE MOVIMIENTOS'!$H$3:$H$500))</f>
        <v/>
      </c>
      <c r="I9" s="21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MOVIMIENTOS'!$D$3:$D$500="Ingreso")*('REGISTRO DE MOVIMIENTOS'!$H$3:$H$500))</f>
        <v/>
      </c>
      <c r="J9" s="21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MOVIMIENTOS'!$D$3:$D$500="Ingreso")*('REGISTRO DE MOVIMIENTOS'!$H$3:$H$500))</f>
        <v/>
      </c>
      <c r="K9" s="21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MOVIMIENTOS'!$D$3:$D$500="Ingreso")*('REGISTRO DE MOVIMIENTOS'!$H$3:$H$500))</f>
        <v/>
      </c>
      <c r="L9" s="21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MOVIMIENTOS'!$D$3:$D$500="Ingreso")*('REGISTRO DE MOVIMIENTOS'!$H$3:$H$500))</f>
        <v/>
      </c>
      <c r="M9" s="21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MOVIMIENTOS'!$D$3:$D$500="Ingreso")*('REGISTRO DE MOVIMIENTOS'!$H$3:$H$500))</f>
        <v/>
      </c>
      <c r="N9" s="21">
        <f>SUM(B9:M9)</f>
        <v/>
      </c>
      <c r="O9" s="21">
        <f>IFERROR(N9/12,0)</f>
        <v/>
      </c>
    </row>
    <row r="11">
      <c r="A11" s="1" t="inlineStr">
        <is>
          <t>GASTOS FIJOS (mensuales constantes)</t>
        </is>
      </c>
    </row>
    <row r="12">
      <c r="A12" s="10" t="inlineStr">
        <is>
          <t>Vivienda/Alquiler</t>
        </is>
      </c>
      <c r="B12" s="17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MOVIMIENTOS'!$E$3:$E$500="Vivienda/Alquiler")*('REGISTRO DE MOVIMIENTOS'!$H$3:$H$500))</f>
        <v/>
      </c>
      <c r="C12" s="17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MOVIMIENTOS'!$E$3:$E$500="Vivienda/Alquiler")*('REGISTRO DE MOVIMIENTOS'!$H$3:$H$500))</f>
        <v/>
      </c>
      <c r="D12" s="17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MOVIMIENTOS'!$E$3:$E$500="Vivienda/Alquiler")*('REGISTRO DE MOVIMIENTOS'!$H$3:$H$500))</f>
        <v/>
      </c>
      <c r="E12" s="17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MOVIMIENTOS'!$E$3:$E$500="Vivienda/Alquiler")*('REGISTRO DE MOVIMIENTOS'!$H$3:$H$500))</f>
        <v/>
      </c>
      <c r="F12" s="17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MOVIMIENTOS'!$E$3:$E$500="Vivienda/Alquiler")*('REGISTRO DE MOVIMIENTOS'!$H$3:$H$500))</f>
        <v/>
      </c>
      <c r="G12" s="17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MOVIMIENTOS'!$E$3:$E$500="Vivienda/Alquiler")*('REGISTRO DE MOVIMIENTOS'!$H$3:$H$500))</f>
        <v/>
      </c>
      <c r="H12" s="17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MOVIMIENTOS'!$E$3:$E$500="Vivienda/Alquiler")*('REGISTRO DE MOVIMIENTOS'!$H$3:$H$500))</f>
        <v/>
      </c>
      <c r="I12" s="17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MOVIMIENTOS'!$E$3:$E$500="Vivienda/Alquiler")*('REGISTRO DE MOVIMIENTOS'!$H$3:$H$500))</f>
        <v/>
      </c>
      <c r="J12" s="17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MOVIMIENTOS'!$E$3:$E$500="Vivienda/Alquiler")*('REGISTRO DE MOVIMIENTOS'!$H$3:$H$500))</f>
        <v/>
      </c>
      <c r="K12" s="17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MOVIMIENTOS'!$E$3:$E$500="Vivienda/Alquiler")*('REGISTRO DE MOVIMIENTOS'!$H$3:$H$500))</f>
        <v/>
      </c>
      <c r="L12" s="17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MOVIMIENTOS'!$E$3:$E$500="Vivienda/Alquiler")*('REGISTRO DE MOVIMIENTOS'!$H$3:$H$500))</f>
        <v/>
      </c>
      <c r="M12" s="17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MOVIMIENTOS'!$E$3:$E$500="Vivienda/Alquiler")*('REGISTRO DE MOVIMIENTOS'!$H$3:$H$500))</f>
        <v/>
      </c>
      <c r="N12" s="33">
        <f>SUM(B12:M12)</f>
        <v/>
      </c>
      <c r="O12" s="33">
        <f>IFERROR(N12/COUNTIF(B12:M12,"&gt;0"),0)</f>
        <v/>
      </c>
    </row>
    <row r="13">
      <c r="A13" s="5" t="inlineStr">
        <is>
          <t>Coche/Transporte</t>
        </is>
      </c>
      <c r="B13" s="19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MOVIMIENTOS'!$E$3:$E$500="Coche/Transporte")*('REGISTRO DE MOVIMIENTOS'!$H$3:$H$500))</f>
        <v/>
      </c>
      <c r="C13" s="19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MOVIMIENTOS'!$E$3:$E$500="Coche/Transporte")*('REGISTRO DE MOVIMIENTOS'!$H$3:$H$500))</f>
        <v/>
      </c>
      <c r="D13" s="19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MOVIMIENTOS'!$E$3:$E$500="Coche/Transporte")*('REGISTRO DE MOVIMIENTOS'!$H$3:$H$500))</f>
        <v/>
      </c>
      <c r="E13" s="19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MOVIMIENTOS'!$E$3:$E$500="Coche/Transporte")*('REGISTRO DE MOVIMIENTOS'!$H$3:$H$500))</f>
        <v/>
      </c>
      <c r="F13" s="19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MOVIMIENTOS'!$E$3:$E$500="Coche/Transporte")*('REGISTRO DE MOVIMIENTOS'!$H$3:$H$500))</f>
        <v/>
      </c>
      <c r="G13" s="19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MOVIMIENTOS'!$E$3:$E$500="Coche/Transporte")*('REGISTRO DE MOVIMIENTOS'!$H$3:$H$500))</f>
        <v/>
      </c>
      <c r="H13" s="19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MOVIMIENTOS'!$E$3:$E$500="Coche/Transporte")*('REGISTRO DE MOVIMIENTOS'!$H$3:$H$500))</f>
        <v/>
      </c>
      <c r="I13" s="19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MOVIMIENTOS'!$E$3:$E$500="Coche/Transporte")*('REGISTRO DE MOVIMIENTOS'!$H$3:$H$500))</f>
        <v/>
      </c>
      <c r="J13" s="19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MOVIMIENTOS'!$E$3:$E$500="Coche/Transporte")*('REGISTRO DE MOVIMIENTOS'!$H$3:$H$500))</f>
        <v/>
      </c>
      <c r="K13" s="19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MOVIMIENTOS'!$E$3:$E$500="Coche/Transporte")*('REGISTRO DE MOVIMIENTOS'!$H$3:$H$500))</f>
        <v/>
      </c>
      <c r="L13" s="19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MOVIMIENTOS'!$E$3:$E$500="Coche/Transporte")*('REGISTRO DE MOVIMIENTOS'!$H$3:$H$500))</f>
        <v/>
      </c>
      <c r="M13" s="19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MOVIMIENTOS'!$E$3:$E$500="Coche/Transporte")*('REGISTRO DE MOVIMIENTOS'!$H$3:$H$500))</f>
        <v/>
      </c>
      <c r="N13" s="34">
        <f>SUM(B13:M13)</f>
        <v/>
      </c>
      <c r="O13" s="34">
        <f>IFERROR(N13/COUNTIF(B13:M13,"&gt;0"),0)</f>
        <v/>
      </c>
    </row>
    <row r="14">
      <c r="A14" s="10" t="inlineStr">
        <is>
          <t>Gasolina</t>
        </is>
      </c>
      <c r="B14" s="17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MOVIMIENTOS'!$E$3:$E$500="Gasolina")*('REGISTRO DE MOVIMIENTOS'!$H$3:$H$500))</f>
        <v/>
      </c>
      <c r="C14" s="17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MOVIMIENTOS'!$E$3:$E$500="Gasolina")*('REGISTRO DE MOVIMIENTOS'!$H$3:$H$500))</f>
        <v/>
      </c>
      <c r="D14" s="17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MOVIMIENTOS'!$E$3:$E$500="Gasolina")*('REGISTRO DE MOVIMIENTOS'!$H$3:$H$500))</f>
        <v/>
      </c>
      <c r="E14" s="17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MOVIMIENTOS'!$E$3:$E$500="Gasolina")*('REGISTRO DE MOVIMIENTOS'!$H$3:$H$500))</f>
        <v/>
      </c>
      <c r="F14" s="17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MOVIMIENTOS'!$E$3:$E$500="Gasolina")*('REGISTRO DE MOVIMIENTOS'!$H$3:$H$500))</f>
        <v/>
      </c>
      <c r="G14" s="17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MOVIMIENTOS'!$E$3:$E$500="Gasolina")*('REGISTRO DE MOVIMIENTOS'!$H$3:$H$500))</f>
        <v/>
      </c>
      <c r="H14" s="17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MOVIMIENTOS'!$E$3:$E$500="Gasolina")*('REGISTRO DE MOVIMIENTOS'!$H$3:$H$500))</f>
        <v/>
      </c>
      <c r="I14" s="17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MOVIMIENTOS'!$E$3:$E$500="Gasolina")*('REGISTRO DE MOVIMIENTOS'!$H$3:$H$500))</f>
        <v/>
      </c>
      <c r="J14" s="17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MOVIMIENTOS'!$E$3:$E$500="Gasolina")*('REGISTRO DE MOVIMIENTOS'!$H$3:$H$500))</f>
        <v/>
      </c>
      <c r="K14" s="17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MOVIMIENTOS'!$E$3:$E$500="Gasolina")*('REGISTRO DE MOVIMIENTOS'!$H$3:$H$500))</f>
        <v/>
      </c>
      <c r="L14" s="17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MOVIMIENTOS'!$E$3:$E$500="Gasolina")*('REGISTRO DE MOVIMIENTOS'!$H$3:$H$500))</f>
        <v/>
      </c>
      <c r="M14" s="17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MOVIMIENTOS'!$E$3:$E$500="Gasolina")*('REGISTRO DE MOVIMIENTOS'!$H$3:$H$500))</f>
        <v/>
      </c>
      <c r="N14" s="33">
        <f>SUM(B14:M14)</f>
        <v/>
      </c>
      <c r="O14" s="33">
        <f>IFERROR(N14/COUNTIF(B14:M14,"&gt;0"),0)</f>
        <v/>
      </c>
    </row>
    <row r="15">
      <c r="A15" s="5" t="inlineStr">
        <is>
          <t>Deporte/Gimnasio</t>
        </is>
      </c>
      <c r="B15" s="19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MOVIMIENTOS'!$E$3:$E$500="Deporte/Gimnasio")*('REGISTRO DE MOVIMIENTOS'!$H$3:$H$500))</f>
        <v/>
      </c>
      <c r="C15" s="19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MOVIMIENTOS'!$E$3:$E$500="Deporte/Gimnasio")*('REGISTRO DE MOVIMIENTOS'!$H$3:$H$500))</f>
        <v/>
      </c>
      <c r="D15" s="19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MOVIMIENTOS'!$E$3:$E$500="Deporte/Gimnasio")*('REGISTRO DE MOVIMIENTOS'!$H$3:$H$500))</f>
        <v/>
      </c>
      <c r="E15" s="19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MOVIMIENTOS'!$E$3:$E$500="Deporte/Gimnasio")*('REGISTRO DE MOVIMIENTOS'!$H$3:$H$500))</f>
        <v/>
      </c>
      <c r="F15" s="19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MOVIMIENTOS'!$E$3:$E$500="Deporte/Gimnasio")*('REGISTRO DE MOVIMIENTOS'!$H$3:$H$500))</f>
        <v/>
      </c>
      <c r="G15" s="19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MOVIMIENTOS'!$E$3:$E$500="Deporte/Gimnasio")*('REGISTRO DE MOVIMIENTOS'!$H$3:$H$500))</f>
        <v/>
      </c>
      <c r="H15" s="19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MOVIMIENTOS'!$E$3:$E$500="Deporte/Gimnasio")*('REGISTRO DE MOVIMIENTOS'!$H$3:$H$500))</f>
        <v/>
      </c>
      <c r="I15" s="19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MOVIMIENTOS'!$E$3:$E$500="Deporte/Gimnasio")*('REGISTRO DE MOVIMIENTOS'!$H$3:$H$500))</f>
        <v/>
      </c>
      <c r="J15" s="19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MOVIMIENTOS'!$E$3:$E$500="Deporte/Gimnasio")*('REGISTRO DE MOVIMIENTOS'!$H$3:$H$500))</f>
        <v/>
      </c>
      <c r="K15" s="19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MOVIMIENTOS'!$E$3:$E$500="Deporte/Gimnasio")*('REGISTRO DE MOVIMIENTOS'!$H$3:$H$500))</f>
        <v/>
      </c>
      <c r="L15" s="19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MOVIMIENTOS'!$E$3:$E$500="Deporte/Gimnasio")*('REGISTRO DE MOVIMIENTOS'!$H$3:$H$500))</f>
        <v/>
      </c>
      <c r="M15" s="19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MOVIMIENTOS'!$E$3:$E$500="Deporte/Gimnasio")*('REGISTRO DE MOVIMIENTOS'!$H$3:$H$500))</f>
        <v/>
      </c>
      <c r="N15" s="34">
        <f>SUM(B15:M15)</f>
        <v/>
      </c>
      <c r="O15" s="34">
        <f>IFERROR(N15/COUNTIF(B15:M15,"&gt;0"),0)</f>
        <v/>
      </c>
    </row>
    <row r="16">
      <c r="A16" s="10" t="inlineStr">
        <is>
          <t>Formacion/Suscripciones</t>
        </is>
      </c>
      <c r="B16" s="17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MOVIMIENTOS'!$E$3:$E$500="Formacion/Suscripciones")*('REGISTRO DE MOVIMIENTOS'!$H$3:$H$500))</f>
        <v/>
      </c>
      <c r="C16" s="17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MOVIMIENTOS'!$E$3:$E$500="Formacion/Suscripciones")*('REGISTRO DE MOVIMIENTOS'!$H$3:$H$500))</f>
        <v/>
      </c>
      <c r="D16" s="17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MOVIMIENTOS'!$E$3:$E$500="Formacion/Suscripciones")*('REGISTRO DE MOVIMIENTOS'!$H$3:$H$500))</f>
        <v/>
      </c>
      <c r="E16" s="17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MOVIMIENTOS'!$E$3:$E$500="Formacion/Suscripciones")*('REGISTRO DE MOVIMIENTOS'!$H$3:$H$500))</f>
        <v/>
      </c>
      <c r="F16" s="17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MOVIMIENTOS'!$E$3:$E$500="Formacion/Suscripciones")*('REGISTRO DE MOVIMIENTOS'!$H$3:$H$500))</f>
        <v/>
      </c>
      <c r="G16" s="17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MOVIMIENTOS'!$E$3:$E$500="Formacion/Suscripciones")*('REGISTRO DE MOVIMIENTOS'!$H$3:$H$500))</f>
        <v/>
      </c>
      <c r="H16" s="17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MOVIMIENTOS'!$E$3:$E$500="Formacion/Suscripciones")*('REGISTRO DE MOVIMIENTOS'!$H$3:$H$500))</f>
        <v/>
      </c>
      <c r="I16" s="17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MOVIMIENTOS'!$E$3:$E$500="Formacion/Suscripciones")*('REGISTRO DE MOVIMIENTOS'!$H$3:$H$500))</f>
        <v/>
      </c>
      <c r="J16" s="17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MOVIMIENTOS'!$E$3:$E$500="Formacion/Suscripciones")*('REGISTRO DE MOVIMIENTOS'!$H$3:$H$500))</f>
        <v/>
      </c>
      <c r="K16" s="17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MOVIMIENTOS'!$E$3:$E$500="Formacion/Suscripciones")*('REGISTRO DE MOVIMIENTOS'!$H$3:$H$500))</f>
        <v/>
      </c>
      <c r="L16" s="17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MOVIMIENTOS'!$E$3:$E$500="Formacion/Suscripciones")*('REGISTRO DE MOVIMIENTOS'!$H$3:$H$500))</f>
        <v/>
      </c>
      <c r="M16" s="17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MOVIMIENTOS'!$E$3:$E$500="Formacion/Suscripciones")*('REGISTRO DE MOVIMIENTOS'!$H$3:$H$500))</f>
        <v/>
      </c>
      <c r="N16" s="33">
        <f>SUM(B16:M16)</f>
        <v/>
      </c>
      <c r="O16" s="33">
        <f>IFERROR(N16/COUNTIF(B16:M16,"&gt;0"),0)</f>
        <v/>
      </c>
    </row>
    <row r="17">
      <c r="A17" s="4" t="inlineStr">
        <is>
          <t>TOTAL GASTOS FIJOS</t>
        </is>
      </c>
      <c r="B17" s="21">
        <f>SUM(B12:B16)</f>
        <v/>
      </c>
      <c r="C17" s="21">
        <f>SUM(C12:C16)</f>
        <v/>
      </c>
      <c r="D17" s="21">
        <f>SUM(D12:D16)</f>
        <v/>
      </c>
      <c r="E17" s="21">
        <f>SUM(E12:E16)</f>
        <v/>
      </c>
      <c r="F17" s="21">
        <f>SUM(F12:F16)</f>
        <v/>
      </c>
      <c r="G17" s="21">
        <f>SUM(G12:G16)</f>
        <v/>
      </c>
      <c r="H17" s="21">
        <f>SUM(H12:H16)</f>
        <v/>
      </c>
      <c r="I17" s="21">
        <f>SUM(I12:I16)</f>
        <v/>
      </c>
      <c r="J17" s="21">
        <f>SUM(J12:J16)</f>
        <v/>
      </c>
      <c r="K17" s="21">
        <f>SUM(K12:K16)</f>
        <v/>
      </c>
      <c r="L17" s="21">
        <f>SUM(L12:L16)</f>
        <v/>
      </c>
      <c r="M17" s="21">
        <f>SUM(M12:M16)</f>
        <v/>
      </c>
      <c r="N17" s="21">
        <f>SUM(B17:M17)</f>
        <v/>
      </c>
      <c r="O17" s="21">
        <f>IFERROR(N17/12,0)</f>
        <v/>
      </c>
    </row>
    <row r="19">
      <c r="A19" s="1" t="inlineStr">
        <is>
          <t>GASTOS VARIABLES (lo que gastas de mas)</t>
        </is>
      </c>
    </row>
    <row r="20">
      <c r="A20" s="10" t="inlineStr">
        <is>
          <t>Supermercado</t>
        </is>
      </c>
      <c r="B20" s="17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MOVIMIENTOS'!$E$3:$E$500="Supermercado")*('REGISTRO DE MOVIMIENTOS'!$H$3:$H$500))</f>
        <v/>
      </c>
      <c r="C20" s="17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MOVIMIENTOS'!$E$3:$E$500="Supermercado")*('REGISTRO DE MOVIMIENTOS'!$H$3:$H$500))</f>
        <v/>
      </c>
      <c r="D20" s="17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MOVIMIENTOS'!$E$3:$E$500="Supermercado")*('REGISTRO DE MOVIMIENTOS'!$H$3:$H$500))</f>
        <v/>
      </c>
      <c r="E20" s="17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MOVIMIENTOS'!$E$3:$E$500="Supermercado")*('REGISTRO DE MOVIMIENTOS'!$H$3:$H$500))</f>
        <v/>
      </c>
      <c r="F20" s="17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MOVIMIENTOS'!$E$3:$E$500="Supermercado")*('REGISTRO DE MOVIMIENTOS'!$H$3:$H$500))</f>
        <v/>
      </c>
      <c r="G20" s="17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MOVIMIENTOS'!$E$3:$E$500="Supermercado")*('REGISTRO DE MOVIMIENTOS'!$H$3:$H$500))</f>
        <v/>
      </c>
      <c r="H20" s="17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MOVIMIENTOS'!$E$3:$E$500="Supermercado")*('REGISTRO DE MOVIMIENTOS'!$H$3:$H$500))</f>
        <v/>
      </c>
      <c r="I20" s="17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MOVIMIENTOS'!$E$3:$E$500="Supermercado")*('REGISTRO DE MOVIMIENTOS'!$H$3:$H$500))</f>
        <v/>
      </c>
      <c r="J20" s="17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MOVIMIENTOS'!$E$3:$E$500="Supermercado")*('REGISTRO DE MOVIMIENTOS'!$H$3:$H$500))</f>
        <v/>
      </c>
      <c r="K20" s="17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MOVIMIENTOS'!$E$3:$E$500="Supermercado")*('REGISTRO DE MOVIMIENTOS'!$H$3:$H$500))</f>
        <v/>
      </c>
      <c r="L20" s="17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MOVIMIENTOS'!$E$3:$E$500="Supermercado")*('REGISTRO DE MOVIMIENTOS'!$H$3:$H$500))</f>
        <v/>
      </c>
      <c r="M20" s="17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MOVIMIENTOS'!$E$3:$E$500="Supermercado")*('REGISTRO DE MOVIMIENTOS'!$H$3:$H$500))</f>
        <v/>
      </c>
      <c r="N20" s="33">
        <f>SUM(B20:M20)</f>
        <v/>
      </c>
      <c r="O20" s="33">
        <f>IFERROR(N20/COUNTIF(B20:M20,"&gt;0"),0)</f>
        <v/>
      </c>
    </row>
    <row r="21">
      <c r="A21" s="5" t="inlineStr">
        <is>
          <t>Restaurante</t>
        </is>
      </c>
      <c r="B21" s="19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MOVIMIENTOS'!$E$3:$E$500="Restaurante")*('REGISTRO DE MOVIMIENTOS'!$H$3:$H$500))</f>
        <v/>
      </c>
      <c r="C21" s="19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MOVIMIENTOS'!$E$3:$E$500="Restaurante")*('REGISTRO DE MOVIMIENTOS'!$H$3:$H$500))</f>
        <v/>
      </c>
      <c r="D21" s="19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MOVIMIENTOS'!$E$3:$E$500="Restaurante")*('REGISTRO DE MOVIMIENTOS'!$H$3:$H$500))</f>
        <v/>
      </c>
      <c r="E21" s="19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MOVIMIENTOS'!$E$3:$E$500="Restaurante")*('REGISTRO DE MOVIMIENTOS'!$H$3:$H$500))</f>
        <v/>
      </c>
      <c r="F21" s="19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MOVIMIENTOS'!$E$3:$E$500="Restaurante")*('REGISTRO DE MOVIMIENTOS'!$H$3:$H$500))</f>
        <v/>
      </c>
      <c r="G21" s="19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MOVIMIENTOS'!$E$3:$E$500="Restaurante")*('REGISTRO DE MOVIMIENTOS'!$H$3:$H$500))</f>
        <v/>
      </c>
      <c r="H21" s="19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MOVIMIENTOS'!$E$3:$E$500="Restaurante")*('REGISTRO DE MOVIMIENTOS'!$H$3:$H$500))</f>
        <v/>
      </c>
      <c r="I21" s="19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MOVIMIENTOS'!$E$3:$E$500="Restaurante")*('REGISTRO DE MOVIMIENTOS'!$H$3:$H$500))</f>
        <v/>
      </c>
      <c r="J21" s="19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MOVIMIENTOS'!$E$3:$E$500="Restaurante")*('REGISTRO DE MOVIMIENTOS'!$H$3:$H$500))</f>
        <v/>
      </c>
      <c r="K21" s="19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MOVIMIENTOS'!$E$3:$E$500="Restaurante")*('REGISTRO DE MOVIMIENTOS'!$H$3:$H$500))</f>
        <v/>
      </c>
      <c r="L21" s="19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MOVIMIENTOS'!$E$3:$E$500="Restaurante")*('REGISTRO DE MOVIMIENTOS'!$H$3:$H$500))</f>
        <v/>
      </c>
      <c r="M21" s="19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MOVIMIENTOS'!$E$3:$E$500="Restaurante")*('REGISTRO DE MOVIMIENTOS'!$H$3:$H$500))</f>
        <v/>
      </c>
      <c r="N21" s="34">
        <f>SUM(B21:M21)</f>
        <v/>
      </c>
      <c r="O21" s="34">
        <f>IFERROR(N21/COUNTIF(B21:M21,"&gt;0"),0)</f>
        <v/>
      </c>
    </row>
    <row r="22">
      <c r="A22" s="10" t="inlineStr">
        <is>
          <t>Cafeteria/Bar</t>
        </is>
      </c>
      <c r="B22" s="17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MOVIMIENTOS'!$E$3:$E$500="Cafeteria/Bar")*('REGISTRO DE MOVIMIENTOS'!$H$3:$H$500))</f>
        <v/>
      </c>
      <c r="C22" s="17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MOVIMIENTOS'!$E$3:$E$500="Cafeteria/Bar")*('REGISTRO DE MOVIMIENTOS'!$H$3:$H$500))</f>
        <v/>
      </c>
      <c r="D22" s="17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MOVIMIENTOS'!$E$3:$E$500="Cafeteria/Bar")*('REGISTRO DE MOVIMIENTOS'!$H$3:$H$500))</f>
        <v/>
      </c>
      <c r="E22" s="17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MOVIMIENTOS'!$E$3:$E$500="Cafeteria/Bar")*('REGISTRO DE MOVIMIENTOS'!$H$3:$H$500))</f>
        <v/>
      </c>
      <c r="F22" s="17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MOVIMIENTOS'!$E$3:$E$500="Cafeteria/Bar")*('REGISTRO DE MOVIMIENTOS'!$H$3:$H$500))</f>
        <v/>
      </c>
      <c r="G22" s="17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MOVIMIENTOS'!$E$3:$E$500="Cafeteria/Bar")*('REGISTRO DE MOVIMIENTOS'!$H$3:$H$500))</f>
        <v/>
      </c>
      <c r="H22" s="17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MOVIMIENTOS'!$E$3:$E$500="Cafeteria/Bar")*('REGISTRO DE MOVIMIENTOS'!$H$3:$H$500))</f>
        <v/>
      </c>
      <c r="I22" s="17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MOVIMIENTOS'!$E$3:$E$500="Cafeteria/Bar")*('REGISTRO DE MOVIMIENTOS'!$H$3:$H$500))</f>
        <v/>
      </c>
      <c r="J22" s="17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MOVIMIENTOS'!$E$3:$E$500="Cafeteria/Bar")*('REGISTRO DE MOVIMIENTOS'!$H$3:$H$500))</f>
        <v/>
      </c>
      <c r="K22" s="17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MOVIMIENTOS'!$E$3:$E$500="Cafeteria/Bar")*('REGISTRO DE MOVIMIENTOS'!$H$3:$H$500))</f>
        <v/>
      </c>
      <c r="L22" s="17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MOVIMIENTOS'!$E$3:$E$500="Cafeteria/Bar")*('REGISTRO DE MOVIMIENTOS'!$H$3:$H$500))</f>
        <v/>
      </c>
      <c r="M22" s="17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MOVIMIENTOS'!$E$3:$E$500="Cafeteria/Bar")*('REGISTRO DE MOVIMIENTOS'!$H$3:$H$500))</f>
        <v/>
      </c>
      <c r="N22" s="33">
        <f>SUM(B22:M22)</f>
        <v/>
      </c>
      <c r="O22" s="33">
        <f>IFERROR(N22/COUNTIF(B22:M22,"&gt;0"),0)</f>
        <v/>
      </c>
    </row>
    <row r="23">
      <c r="A23" s="5" t="inlineStr">
        <is>
          <t>Ocio/Entretenimiento</t>
        </is>
      </c>
      <c r="B23" s="19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MOVIMIENTOS'!$E$3:$E$500="Ocio/Entretenimiento")*('REGISTRO DE MOVIMIENTOS'!$H$3:$H$500))</f>
        <v/>
      </c>
      <c r="C23" s="19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MOVIMIENTOS'!$E$3:$E$500="Ocio/Entretenimiento")*('REGISTRO DE MOVIMIENTOS'!$H$3:$H$500))</f>
        <v/>
      </c>
      <c r="D23" s="19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MOVIMIENTOS'!$E$3:$E$500="Ocio/Entretenimiento")*('REGISTRO DE MOVIMIENTOS'!$H$3:$H$500))</f>
        <v/>
      </c>
      <c r="E23" s="19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MOVIMIENTOS'!$E$3:$E$500="Ocio/Entretenimiento")*('REGISTRO DE MOVIMIENTOS'!$H$3:$H$500))</f>
        <v/>
      </c>
      <c r="F23" s="19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MOVIMIENTOS'!$E$3:$E$500="Ocio/Entretenimiento")*('REGISTRO DE MOVIMIENTOS'!$H$3:$H$500))</f>
        <v/>
      </c>
      <c r="G23" s="19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MOVIMIENTOS'!$E$3:$E$500="Ocio/Entretenimiento")*('REGISTRO DE MOVIMIENTOS'!$H$3:$H$500))</f>
        <v/>
      </c>
      <c r="H23" s="19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MOVIMIENTOS'!$E$3:$E$500="Ocio/Entretenimiento")*('REGISTRO DE MOVIMIENTOS'!$H$3:$H$500))</f>
        <v/>
      </c>
      <c r="I23" s="19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MOVIMIENTOS'!$E$3:$E$500="Ocio/Entretenimiento")*('REGISTRO DE MOVIMIENTOS'!$H$3:$H$500))</f>
        <v/>
      </c>
      <c r="J23" s="19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MOVIMIENTOS'!$E$3:$E$500="Ocio/Entretenimiento")*('REGISTRO DE MOVIMIENTOS'!$H$3:$H$500))</f>
        <v/>
      </c>
      <c r="K23" s="19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MOVIMIENTOS'!$E$3:$E$500="Ocio/Entretenimiento")*('REGISTRO DE MOVIMIENTOS'!$H$3:$H$500))</f>
        <v/>
      </c>
      <c r="L23" s="19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MOVIMIENTOS'!$E$3:$E$500="Ocio/Entretenimiento")*('REGISTRO DE MOVIMIENTOS'!$H$3:$H$500))</f>
        <v/>
      </c>
      <c r="M23" s="19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MOVIMIENTOS'!$E$3:$E$500="Ocio/Entretenimiento")*('REGISTRO DE MOVIMIENTOS'!$H$3:$H$500))</f>
        <v/>
      </c>
      <c r="N23" s="34">
        <f>SUM(B23:M23)</f>
        <v/>
      </c>
      <c r="O23" s="34">
        <f>IFERROR(N23/COUNTIF(B23:M23,"&gt;0"),0)</f>
        <v/>
      </c>
    </row>
    <row r="24">
      <c r="A24" s="10" t="inlineStr">
        <is>
          <t>Ropa/Calzado</t>
        </is>
      </c>
      <c r="B24" s="17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MOVIMIENTOS'!$E$3:$E$500="Ropa/Calzado")*('REGISTRO DE MOVIMIENTOS'!$H$3:$H$500))</f>
        <v/>
      </c>
      <c r="C24" s="17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MOVIMIENTOS'!$E$3:$E$500="Ropa/Calzado")*('REGISTRO DE MOVIMIENTOS'!$H$3:$H$500))</f>
        <v/>
      </c>
      <c r="D24" s="17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MOVIMIENTOS'!$E$3:$E$500="Ropa/Calzado")*('REGISTRO DE MOVIMIENTOS'!$H$3:$H$500))</f>
        <v/>
      </c>
      <c r="E24" s="17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MOVIMIENTOS'!$E$3:$E$500="Ropa/Calzado")*('REGISTRO DE MOVIMIENTOS'!$H$3:$H$500))</f>
        <v/>
      </c>
      <c r="F24" s="17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MOVIMIENTOS'!$E$3:$E$500="Ropa/Calzado")*('REGISTRO DE MOVIMIENTOS'!$H$3:$H$500))</f>
        <v/>
      </c>
      <c r="G24" s="17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MOVIMIENTOS'!$E$3:$E$500="Ropa/Calzado")*('REGISTRO DE MOVIMIENTOS'!$H$3:$H$500))</f>
        <v/>
      </c>
      <c r="H24" s="17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MOVIMIENTOS'!$E$3:$E$500="Ropa/Calzado")*('REGISTRO DE MOVIMIENTOS'!$H$3:$H$500))</f>
        <v/>
      </c>
      <c r="I24" s="17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MOVIMIENTOS'!$E$3:$E$500="Ropa/Calzado")*('REGISTRO DE MOVIMIENTOS'!$H$3:$H$500))</f>
        <v/>
      </c>
      <c r="J24" s="17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MOVIMIENTOS'!$E$3:$E$500="Ropa/Calzado")*('REGISTRO DE MOVIMIENTOS'!$H$3:$H$500))</f>
        <v/>
      </c>
      <c r="K24" s="17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MOVIMIENTOS'!$E$3:$E$500="Ropa/Calzado")*('REGISTRO DE MOVIMIENTOS'!$H$3:$H$500))</f>
        <v/>
      </c>
      <c r="L24" s="17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MOVIMIENTOS'!$E$3:$E$500="Ropa/Calzado")*('REGISTRO DE MOVIMIENTOS'!$H$3:$H$500))</f>
        <v/>
      </c>
      <c r="M24" s="17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MOVIMIENTOS'!$E$3:$E$500="Ropa/Calzado")*('REGISTRO DE MOVIMIENTOS'!$H$3:$H$500))</f>
        <v/>
      </c>
      <c r="N24" s="33">
        <f>SUM(B24:M24)</f>
        <v/>
      </c>
      <c r="O24" s="33">
        <f>IFERROR(N24/COUNTIF(B24:M24,"&gt;0"),0)</f>
        <v/>
      </c>
    </row>
    <row r="25">
      <c r="A25" s="5" t="inlineStr">
        <is>
          <t>Farmacia/Salud</t>
        </is>
      </c>
      <c r="B25" s="19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MOVIMIENTOS'!$E$3:$E$500="Farmacia/Salud")*('REGISTRO DE MOVIMIENTOS'!$H$3:$H$500))</f>
        <v/>
      </c>
      <c r="C25" s="19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MOVIMIENTOS'!$E$3:$E$500="Farmacia/Salud")*('REGISTRO DE MOVIMIENTOS'!$H$3:$H$500))</f>
        <v/>
      </c>
      <c r="D25" s="19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MOVIMIENTOS'!$E$3:$E$500="Farmacia/Salud")*('REGISTRO DE MOVIMIENTOS'!$H$3:$H$500))</f>
        <v/>
      </c>
      <c r="E25" s="19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MOVIMIENTOS'!$E$3:$E$500="Farmacia/Salud")*('REGISTRO DE MOVIMIENTOS'!$H$3:$H$500))</f>
        <v/>
      </c>
      <c r="F25" s="19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MOVIMIENTOS'!$E$3:$E$500="Farmacia/Salud")*('REGISTRO DE MOVIMIENTOS'!$H$3:$H$500))</f>
        <v/>
      </c>
      <c r="G25" s="19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MOVIMIENTOS'!$E$3:$E$500="Farmacia/Salud")*('REGISTRO DE MOVIMIENTOS'!$H$3:$H$500))</f>
        <v/>
      </c>
      <c r="H25" s="19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MOVIMIENTOS'!$E$3:$E$500="Farmacia/Salud")*('REGISTRO DE MOVIMIENTOS'!$H$3:$H$500))</f>
        <v/>
      </c>
      <c r="I25" s="19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MOVIMIENTOS'!$E$3:$E$500="Farmacia/Salud")*('REGISTRO DE MOVIMIENTOS'!$H$3:$H$500))</f>
        <v/>
      </c>
      <c r="J25" s="19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MOVIMIENTOS'!$E$3:$E$500="Farmacia/Salud")*('REGISTRO DE MOVIMIENTOS'!$H$3:$H$500))</f>
        <v/>
      </c>
      <c r="K25" s="19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MOVIMIENTOS'!$E$3:$E$500="Farmacia/Salud")*('REGISTRO DE MOVIMIENTOS'!$H$3:$H$500))</f>
        <v/>
      </c>
      <c r="L25" s="19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MOVIMIENTOS'!$E$3:$E$500="Farmacia/Salud")*('REGISTRO DE MOVIMIENTOS'!$H$3:$H$500))</f>
        <v/>
      </c>
      <c r="M25" s="19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MOVIMIENTOS'!$E$3:$E$500="Farmacia/Salud")*('REGISTRO DE MOVIMIENTOS'!$H$3:$H$500))</f>
        <v/>
      </c>
      <c r="N25" s="34">
        <f>SUM(B25:M25)</f>
        <v/>
      </c>
      <c r="O25" s="34">
        <f>IFERROR(N25/COUNTIF(B25:M25,"&gt;0"),0)</f>
        <v/>
      </c>
    </row>
    <row r="26">
      <c r="A26" s="10" t="inlineStr">
        <is>
          <t>Peluqueria/Estetica</t>
        </is>
      </c>
      <c r="B26" s="17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MOVIMIENTOS'!$E$3:$E$500="Peluqueria/Estetica")*('REGISTRO DE MOVIMIENTOS'!$H$3:$H$500))</f>
        <v/>
      </c>
      <c r="C26" s="17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MOVIMIENTOS'!$E$3:$E$500="Peluqueria/Estetica")*('REGISTRO DE MOVIMIENTOS'!$H$3:$H$500))</f>
        <v/>
      </c>
      <c r="D26" s="17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MOVIMIENTOS'!$E$3:$E$500="Peluqueria/Estetica")*('REGISTRO DE MOVIMIENTOS'!$H$3:$H$500))</f>
        <v/>
      </c>
      <c r="E26" s="17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MOVIMIENTOS'!$E$3:$E$500="Peluqueria/Estetica")*('REGISTRO DE MOVIMIENTOS'!$H$3:$H$500))</f>
        <v/>
      </c>
      <c r="F26" s="17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MOVIMIENTOS'!$E$3:$E$500="Peluqueria/Estetica")*('REGISTRO DE MOVIMIENTOS'!$H$3:$H$500))</f>
        <v/>
      </c>
      <c r="G26" s="17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MOVIMIENTOS'!$E$3:$E$500="Peluqueria/Estetica")*('REGISTRO DE MOVIMIENTOS'!$H$3:$H$500))</f>
        <v/>
      </c>
      <c r="H26" s="17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MOVIMIENTOS'!$E$3:$E$500="Peluqueria/Estetica")*('REGISTRO DE MOVIMIENTOS'!$H$3:$H$500))</f>
        <v/>
      </c>
      <c r="I26" s="17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MOVIMIENTOS'!$E$3:$E$500="Peluqueria/Estetica")*('REGISTRO DE MOVIMIENTOS'!$H$3:$H$500))</f>
        <v/>
      </c>
      <c r="J26" s="17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MOVIMIENTOS'!$E$3:$E$500="Peluqueria/Estetica")*('REGISTRO DE MOVIMIENTOS'!$H$3:$H$500))</f>
        <v/>
      </c>
      <c r="K26" s="17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MOVIMIENTOS'!$E$3:$E$500="Peluqueria/Estetica")*('REGISTRO DE MOVIMIENTOS'!$H$3:$H$500))</f>
        <v/>
      </c>
      <c r="L26" s="17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MOVIMIENTOS'!$E$3:$E$500="Peluqueria/Estetica")*('REGISTRO DE MOVIMIENTOS'!$H$3:$H$500))</f>
        <v/>
      </c>
      <c r="M26" s="17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MOVIMIENTOS'!$E$3:$E$500="Peluqueria/Estetica")*('REGISTRO DE MOVIMIENTOS'!$H$3:$H$500))</f>
        <v/>
      </c>
      <c r="N26" s="33">
        <f>SUM(B26:M26)</f>
        <v/>
      </c>
      <c r="O26" s="33">
        <f>IFERROR(N26/COUNTIF(B26:M26,"&gt;0"),0)</f>
        <v/>
      </c>
    </row>
    <row r="27">
      <c r="A27" s="5" t="inlineStr">
        <is>
          <t>Electronica/Amazon</t>
        </is>
      </c>
      <c r="B27" s="19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MOVIMIENTOS'!$E$3:$E$500="Electronica/Amazon")*('REGISTRO DE MOVIMIENTOS'!$H$3:$H$500))</f>
        <v/>
      </c>
      <c r="C27" s="19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MOVIMIENTOS'!$E$3:$E$500="Electronica/Amazon")*('REGISTRO DE MOVIMIENTOS'!$H$3:$H$500))</f>
        <v/>
      </c>
      <c r="D27" s="19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MOVIMIENTOS'!$E$3:$E$500="Electronica/Amazon")*('REGISTRO DE MOVIMIENTOS'!$H$3:$H$500))</f>
        <v/>
      </c>
      <c r="E27" s="19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MOVIMIENTOS'!$E$3:$E$500="Electronica/Amazon")*('REGISTRO DE MOVIMIENTOS'!$H$3:$H$500))</f>
        <v/>
      </c>
      <c r="F27" s="19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MOVIMIENTOS'!$E$3:$E$500="Electronica/Amazon")*('REGISTRO DE MOVIMIENTOS'!$H$3:$H$500))</f>
        <v/>
      </c>
      <c r="G27" s="19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MOVIMIENTOS'!$E$3:$E$500="Electronica/Amazon")*('REGISTRO DE MOVIMIENTOS'!$H$3:$H$500))</f>
        <v/>
      </c>
      <c r="H27" s="19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MOVIMIENTOS'!$E$3:$E$500="Electronica/Amazon")*('REGISTRO DE MOVIMIENTOS'!$H$3:$H$500))</f>
        <v/>
      </c>
      <c r="I27" s="19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MOVIMIENTOS'!$E$3:$E$500="Electronica/Amazon")*('REGISTRO DE MOVIMIENTOS'!$H$3:$H$500))</f>
        <v/>
      </c>
      <c r="J27" s="19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MOVIMIENTOS'!$E$3:$E$500="Electronica/Amazon")*('REGISTRO DE MOVIMIENTOS'!$H$3:$H$500))</f>
        <v/>
      </c>
      <c r="K27" s="19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MOVIMIENTOS'!$E$3:$E$500="Electronica/Amazon")*('REGISTRO DE MOVIMIENTOS'!$H$3:$H$500))</f>
        <v/>
      </c>
      <c r="L27" s="19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MOVIMIENTOS'!$E$3:$E$500="Electronica/Amazon")*('REGISTRO DE MOVIMIENTOS'!$H$3:$H$500))</f>
        <v/>
      </c>
      <c r="M27" s="19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MOVIMIENTOS'!$E$3:$E$500="Electronica/Amazon")*('REGISTRO DE MOVIMIENTOS'!$H$3:$H$500))</f>
        <v/>
      </c>
      <c r="N27" s="34">
        <f>SUM(B27:M27)</f>
        <v/>
      </c>
      <c r="O27" s="34">
        <f>IFERROR(N27/COUNTIF(B27:M27,"&gt;0"),0)</f>
        <v/>
      </c>
    </row>
    <row r="28">
      <c r="A28" s="10" t="inlineStr">
        <is>
          <t>Hogar</t>
        </is>
      </c>
      <c r="B28" s="17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MOVIMIENTOS'!$E$3:$E$500="Hogar")*('REGISTRO DE MOVIMIENTOS'!$H$3:$H$500))</f>
        <v/>
      </c>
      <c r="C28" s="17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MOVIMIENTOS'!$E$3:$E$500="Hogar")*('REGISTRO DE MOVIMIENTOS'!$H$3:$H$500))</f>
        <v/>
      </c>
      <c r="D28" s="17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MOVIMIENTOS'!$E$3:$E$500="Hogar")*('REGISTRO DE MOVIMIENTOS'!$H$3:$H$500))</f>
        <v/>
      </c>
      <c r="E28" s="17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MOVIMIENTOS'!$E$3:$E$500="Hogar")*('REGISTRO DE MOVIMIENTOS'!$H$3:$H$500))</f>
        <v/>
      </c>
      <c r="F28" s="17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MOVIMIENTOS'!$E$3:$E$500="Hogar")*('REGISTRO DE MOVIMIENTOS'!$H$3:$H$500))</f>
        <v/>
      </c>
      <c r="G28" s="17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MOVIMIENTOS'!$E$3:$E$500="Hogar")*('REGISTRO DE MOVIMIENTOS'!$H$3:$H$500))</f>
        <v/>
      </c>
      <c r="H28" s="17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MOVIMIENTOS'!$E$3:$E$500="Hogar")*('REGISTRO DE MOVIMIENTOS'!$H$3:$H$500))</f>
        <v/>
      </c>
      <c r="I28" s="17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MOVIMIENTOS'!$E$3:$E$500="Hogar")*('REGISTRO DE MOVIMIENTOS'!$H$3:$H$500))</f>
        <v/>
      </c>
      <c r="J28" s="17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MOVIMIENTOS'!$E$3:$E$500="Hogar")*('REGISTRO DE MOVIMIENTOS'!$H$3:$H$500))</f>
        <v/>
      </c>
      <c r="K28" s="17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MOVIMIENTOS'!$E$3:$E$500="Hogar")*('REGISTRO DE MOVIMIENTOS'!$H$3:$H$500))</f>
        <v/>
      </c>
      <c r="L28" s="17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MOVIMIENTOS'!$E$3:$E$500="Hogar")*('REGISTRO DE MOVIMIENTOS'!$H$3:$H$500))</f>
        <v/>
      </c>
      <c r="M28" s="17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MOVIMIENTOS'!$E$3:$E$500="Hogar")*('REGISTRO DE MOVIMIENTOS'!$H$3:$H$500))</f>
        <v/>
      </c>
      <c r="N28" s="33">
        <f>SUM(B28:M28)</f>
        <v/>
      </c>
      <c r="O28" s="33">
        <f>IFERROR(N28/COUNTIF(B28:M28,"&gt;0"),0)</f>
        <v/>
      </c>
    </row>
    <row r="29">
      <c r="A29" s="5" t="inlineStr">
        <is>
          <t>Software/Apps</t>
        </is>
      </c>
      <c r="B29" s="19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MOVIMIENTOS'!$E$3:$E$500="Software/Apps")*('REGISTRO DE MOVIMIENTOS'!$H$3:$H$500))</f>
        <v/>
      </c>
      <c r="C29" s="19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MOVIMIENTOS'!$E$3:$E$500="Software/Apps")*('REGISTRO DE MOVIMIENTOS'!$H$3:$H$500))</f>
        <v/>
      </c>
      <c r="D29" s="19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MOVIMIENTOS'!$E$3:$E$500="Software/Apps")*('REGISTRO DE MOVIMIENTOS'!$H$3:$H$500))</f>
        <v/>
      </c>
      <c r="E29" s="19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MOVIMIENTOS'!$E$3:$E$500="Software/Apps")*('REGISTRO DE MOVIMIENTOS'!$H$3:$H$500))</f>
        <v/>
      </c>
      <c r="F29" s="19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MOVIMIENTOS'!$E$3:$E$500="Software/Apps")*('REGISTRO DE MOVIMIENTOS'!$H$3:$H$500))</f>
        <v/>
      </c>
      <c r="G29" s="19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MOVIMIENTOS'!$E$3:$E$500="Software/Apps")*('REGISTRO DE MOVIMIENTOS'!$H$3:$H$500))</f>
        <v/>
      </c>
      <c r="H29" s="19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MOVIMIENTOS'!$E$3:$E$500="Software/Apps")*('REGISTRO DE MOVIMIENTOS'!$H$3:$H$500))</f>
        <v/>
      </c>
      <c r="I29" s="19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MOVIMIENTOS'!$E$3:$E$500="Software/Apps")*('REGISTRO DE MOVIMIENTOS'!$H$3:$H$500))</f>
        <v/>
      </c>
      <c r="J29" s="19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MOVIMIENTOS'!$E$3:$E$500="Software/Apps")*('REGISTRO DE MOVIMIENTOS'!$H$3:$H$500))</f>
        <v/>
      </c>
      <c r="K29" s="19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MOVIMIENTOS'!$E$3:$E$500="Software/Apps")*('REGISTRO DE MOVIMIENTOS'!$H$3:$H$500))</f>
        <v/>
      </c>
      <c r="L29" s="19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MOVIMIENTOS'!$E$3:$E$500="Software/Apps")*('REGISTRO DE MOVIMIENTOS'!$H$3:$H$500))</f>
        <v/>
      </c>
      <c r="M29" s="19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MOVIMIENTOS'!$E$3:$E$500="Software/Apps")*('REGISTRO DE MOVIMIENTOS'!$H$3:$H$500))</f>
        <v/>
      </c>
      <c r="N29" s="34">
        <f>SUM(B29:M29)</f>
        <v/>
      </c>
      <c r="O29" s="34">
        <f>IFERROR(N29/COUNTIF(B29:M29,"&gt;0"),0)</f>
        <v/>
      </c>
    </row>
    <row r="30">
      <c r="A30" s="10" t="inlineStr">
        <is>
          <t>Viajes/Vacaciones</t>
        </is>
      </c>
      <c r="B30" s="17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MOVIMIENTOS'!$E$3:$E$500="Viajes/Vacaciones")*('REGISTRO DE MOVIMIENTOS'!$H$3:$H$500))</f>
        <v/>
      </c>
      <c r="C30" s="17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MOVIMIENTOS'!$E$3:$E$500="Viajes/Vacaciones")*('REGISTRO DE MOVIMIENTOS'!$H$3:$H$500))</f>
        <v/>
      </c>
      <c r="D30" s="17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MOVIMIENTOS'!$E$3:$E$500="Viajes/Vacaciones")*('REGISTRO DE MOVIMIENTOS'!$H$3:$H$500))</f>
        <v/>
      </c>
      <c r="E30" s="17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MOVIMIENTOS'!$E$3:$E$500="Viajes/Vacaciones")*('REGISTRO DE MOVIMIENTOS'!$H$3:$H$500))</f>
        <v/>
      </c>
      <c r="F30" s="17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MOVIMIENTOS'!$E$3:$E$500="Viajes/Vacaciones")*('REGISTRO DE MOVIMIENTOS'!$H$3:$H$500))</f>
        <v/>
      </c>
      <c r="G30" s="17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MOVIMIENTOS'!$E$3:$E$500="Viajes/Vacaciones")*('REGISTRO DE MOVIMIENTOS'!$H$3:$H$500))</f>
        <v/>
      </c>
      <c r="H30" s="17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MOVIMIENTOS'!$E$3:$E$500="Viajes/Vacaciones")*('REGISTRO DE MOVIMIENTOS'!$H$3:$H$500))</f>
        <v/>
      </c>
      <c r="I30" s="17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MOVIMIENTOS'!$E$3:$E$500="Viajes/Vacaciones")*('REGISTRO DE MOVIMIENTOS'!$H$3:$H$500))</f>
        <v/>
      </c>
      <c r="J30" s="17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MOVIMIENTOS'!$E$3:$E$500="Viajes/Vacaciones")*('REGISTRO DE MOVIMIENTOS'!$H$3:$H$500))</f>
        <v/>
      </c>
      <c r="K30" s="17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MOVIMIENTOS'!$E$3:$E$500="Viajes/Vacaciones")*('REGISTRO DE MOVIMIENTOS'!$H$3:$H$500))</f>
        <v/>
      </c>
      <c r="L30" s="17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MOVIMIENTOS'!$E$3:$E$500="Viajes/Vacaciones")*('REGISTRO DE MOVIMIENTOS'!$H$3:$H$500))</f>
        <v/>
      </c>
      <c r="M30" s="17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MOVIMIENTOS'!$E$3:$E$500="Viajes/Vacaciones")*('REGISTRO DE MOVIMIENTOS'!$H$3:$H$500))</f>
        <v/>
      </c>
      <c r="N30" s="33">
        <f>SUM(B30:M30)</f>
        <v/>
      </c>
      <c r="O30" s="33">
        <f>IFERROR(N30/COUNTIF(B30:M30,"&gt;0"),0)</f>
        <v/>
      </c>
    </row>
    <row r="31">
      <c r="A31" s="5" t="inlineStr">
        <is>
          <t>Otros</t>
        </is>
      </c>
      <c r="B31" s="19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MOVIMIENTOS'!$E$3:$E$500="Otros")*('REGISTRO DE MOVIMIENTOS'!$H$3:$H$500))</f>
        <v/>
      </c>
      <c r="C31" s="19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MOVIMIENTOS'!$E$3:$E$500="Otros")*('REGISTRO DE MOVIMIENTOS'!$H$3:$H$500))</f>
        <v/>
      </c>
      <c r="D31" s="19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MOVIMIENTOS'!$E$3:$E$500="Otros")*('REGISTRO DE MOVIMIENTOS'!$H$3:$H$500))</f>
        <v/>
      </c>
      <c r="E31" s="19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MOVIMIENTOS'!$E$3:$E$500="Otros")*('REGISTRO DE MOVIMIENTOS'!$H$3:$H$500))</f>
        <v/>
      </c>
      <c r="F31" s="19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MOVIMIENTOS'!$E$3:$E$500="Otros")*('REGISTRO DE MOVIMIENTOS'!$H$3:$H$500))</f>
        <v/>
      </c>
      <c r="G31" s="19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MOVIMIENTOS'!$E$3:$E$500="Otros")*('REGISTRO DE MOVIMIENTOS'!$H$3:$H$500))</f>
        <v/>
      </c>
      <c r="H31" s="19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MOVIMIENTOS'!$E$3:$E$500="Otros")*('REGISTRO DE MOVIMIENTOS'!$H$3:$H$500))</f>
        <v/>
      </c>
      <c r="I31" s="19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MOVIMIENTOS'!$E$3:$E$500="Otros")*('REGISTRO DE MOVIMIENTOS'!$H$3:$H$500))</f>
        <v/>
      </c>
      <c r="J31" s="19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MOVIMIENTOS'!$E$3:$E$500="Otros")*('REGISTRO DE MOVIMIENTOS'!$H$3:$H$500))</f>
        <v/>
      </c>
      <c r="K31" s="19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MOVIMIENTOS'!$E$3:$E$500="Otros")*('REGISTRO DE MOVIMIENTOS'!$H$3:$H$500))</f>
        <v/>
      </c>
      <c r="L31" s="19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MOVIMIENTOS'!$E$3:$E$500="Otros")*('REGISTRO DE MOVIMIENTOS'!$H$3:$H$500))</f>
        <v/>
      </c>
      <c r="M31" s="19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MOVIMIENTOS'!$E$3:$E$500="Otros")*('REGISTRO DE MOVIMIENTOS'!$H$3:$H$500))</f>
        <v/>
      </c>
      <c r="N31" s="34">
        <f>SUM(B31:M31)</f>
        <v/>
      </c>
      <c r="O31" s="34">
        <f>IFERROR(N31/COUNTIF(B31:M31,"&gt;0"),0)</f>
        <v/>
      </c>
    </row>
    <row r="32">
      <c r="A32" s="4" t="inlineStr">
        <is>
          <t>TOTAL GASTOS VARIABLES</t>
        </is>
      </c>
      <c r="B32" s="21">
        <f>SUM(B20:B31)</f>
        <v/>
      </c>
      <c r="C32" s="21">
        <f>SUM(C20:C31)</f>
        <v/>
      </c>
      <c r="D32" s="21">
        <f>SUM(D20:D31)</f>
        <v/>
      </c>
      <c r="E32" s="21">
        <f>SUM(E20:E31)</f>
        <v/>
      </c>
      <c r="F32" s="21">
        <f>SUM(F20:F31)</f>
        <v/>
      </c>
      <c r="G32" s="21">
        <f>SUM(G20:G31)</f>
        <v/>
      </c>
      <c r="H32" s="21">
        <f>SUM(H20:H31)</f>
        <v/>
      </c>
      <c r="I32" s="21">
        <f>SUM(I20:I31)</f>
        <v/>
      </c>
      <c r="J32" s="21">
        <f>SUM(J20:J31)</f>
        <v/>
      </c>
      <c r="K32" s="21">
        <f>SUM(K20:K31)</f>
        <v/>
      </c>
      <c r="L32" s="21">
        <f>SUM(L20:L31)</f>
        <v/>
      </c>
      <c r="M32" s="21">
        <f>SUM(M20:M31)</f>
        <v/>
      </c>
      <c r="N32" s="21">
        <f>SUM(B32:M32)</f>
        <v/>
      </c>
      <c r="O32" s="21">
        <f>IFERROR(N32/12,0)</f>
        <v/>
      </c>
    </row>
    <row r="34">
      <c r="A34" s="3" t="inlineStr">
        <is>
          <t>INVERSION Y AHORRO</t>
        </is>
      </c>
    </row>
    <row r="35">
      <c r="A35" s="5" t="inlineStr">
        <is>
          <t>Ahorro</t>
        </is>
      </c>
      <c r="B35" s="19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MOVIMIENTOS'!$E$3:$E$500="Ahorro")*('REGISTRO DE MOVIMIENTOS'!$H$3:$H$500))</f>
        <v/>
      </c>
      <c r="C35" s="19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MOVIMIENTOS'!$E$3:$E$500="Ahorro")*('REGISTRO DE MOVIMIENTOS'!$H$3:$H$500))</f>
        <v/>
      </c>
      <c r="D35" s="19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MOVIMIENTOS'!$E$3:$E$500="Ahorro")*('REGISTRO DE MOVIMIENTOS'!$H$3:$H$500))</f>
        <v/>
      </c>
      <c r="E35" s="19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MOVIMIENTOS'!$E$3:$E$500="Ahorro")*('REGISTRO DE MOVIMIENTOS'!$H$3:$H$500))</f>
        <v/>
      </c>
      <c r="F35" s="19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MOVIMIENTOS'!$E$3:$E$500="Ahorro")*('REGISTRO DE MOVIMIENTOS'!$H$3:$H$500))</f>
        <v/>
      </c>
      <c r="G35" s="19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MOVIMIENTOS'!$E$3:$E$500="Ahorro")*('REGISTRO DE MOVIMIENTOS'!$H$3:$H$500))</f>
        <v/>
      </c>
      <c r="H35" s="19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MOVIMIENTOS'!$E$3:$E$500="Ahorro")*('REGISTRO DE MOVIMIENTOS'!$H$3:$H$500))</f>
        <v/>
      </c>
      <c r="I35" s="19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MOVIMIENTOS'!$E$3:$E$500="Ahorro")*('REGISTRO DE MOVIMIENTOS'!$H$3:$H$500))</f>
        <v/>
      </c>
      <c r="J35" s="19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MOVIMIENTOS'!$E$3:$E$500="Ahorro")*('REGISTRO DE MOVIMIENTOS'!$H$3:$H$500))</f>
        <v/>
      </c>
      <c r="K35" s="19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MOVIMIENTOS'!$E$3:$E$500="Ahorro")*('REGISTRO DE MOVIMIENTOS'!$H$3:$H$500))</f>
        <v/>
      </c>
      <c r="L35" s="19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MOVIMIENTOS'!$E$3:$E$500="Ahorro")*('REGISTRO DE MOVIMIENTOS'!$H$3:$H$500))</f>
        <v/>
      </c>
      <c r="M35" s="19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MOVIMIENTOS'!$E$3:$E$500="Ahorro")*('REGISTRO DE MOVIMIENTOS'!$H$3:$H$500))</f>
        <v/>
      </c>
      <c r="N35" s="34">
        <f>SUM(B35:M35)</f>
        <v/>
      </c>
      <c r="O35" s="34">
        <f>IFERROR(N35/COUNTIF(B35:M35,"&gt;0"),0)</f>
        <v/>
      </c>
    </row>
    <row r="36">
      <c r="A36" s="10" t="inlineStr">
        <is>
          <t>Bankroll</t>
        </is>
      </c>
      <c r="B36" s="17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MOVIMIENTOS'!$E$3:$E$500="Bankroll")*('REGISTRO DE MOVIMIENTOS'!$H$3:$H$500))</f>
        <v/>
      </c>
      <c r="C36" s="17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MOVIMIENTOS'!$E$3:$E$500="Bankroll")*('REGISTRO DE MOVIMIENTOS'!$H$3:$H$500))</f>
        <v/>
      </c>
      <c r="D36" s="17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MOVIMIENTOS'!$E$3:$E$500="Bankroll")*('REGISTRO DE MOVIMIENTOS'!$H$3:$H$500))</f>
        <v/>
      </c>
      <c r="E36" s="17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MOVIMIENTOS'!$E$3:$E$500="Bankroll")*('REGISTRO DE MOVIMIENTOS'!$H$3:$H$500))</f>
        <v/>
      </c>
      <c r="F36" s="17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MOVIMIENTOS'!$E$3:$E$500="Bankroll")*('REGISTRO DE MOVIMIENTOS'!$H$3:$H$500))</f>
        <v/>
      </c>
      <c r="G36" s="17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MOVIMIENTOS'!$E$3:$E$500="Bankroll")*('REGISTRO DE MOVIMIENTOS'!$H$3:$H$500))</f>
        <v/>
      </c>
      <c r="H36" s="17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MOVIMIENTOS'!$E$3:$E$500="Bankroll")*('REGISTRO DE MOVIMIENTOS'!$H$3:$H$500))</f>
        <v/>
      </c>
      <c r="I36" s="17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MOVIMIENTOS'!$E$3:$E$500="Bankroll")*('REGISTRO DE MOVIMIENTOS'!$H$3:$H$500))</f>
        <v/>
      </c>
      <c r="J36" s="17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MOVIMIENTOS'!$E$3:$E$500="Bankroll")*('REGISTRO DE MOVIMIENTOS'!$H$3:$H$500))</f>
        <v/>
      </c>
      <c r="K36" s="17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MOVIMIENTOS'!$E$3:$E$500="Bankroll")*('REGISTRO DE MOVIMIENTOS'!$H$3:$H$500))</f>
        <v/>
      </c>
      <c r="L36" s="17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MOVIMIENTOS'!$E$3:$E$500="Bankroll")*('REGISTRO DE MOVIMIENTOS'!$H$3:$H$500))</f>
        <v/>
      </c>
      <c r="M36" s="17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MOVIMIENTOS'!$E$3:$E$500="Bankroll")*('REGISTRO DE MOVIMIENTOS'!$H$3:$H$500))</f>
        <v/>
      </c>
      <c r="N36" s="33">
        <f>SUM(B36:M36)</f>
        <v/>
      </c>
      <c r="O36" s="33">
        <f>IFERROR(N36/COUNTIF(B36:M36,"&gt;0"),0)</f>
        <v/>
      </c>
    </row>
    <row r="37">
      <c r="A37" s="5" t="inlineStr">
        <is>
          <t>TraderLab</t>
        </is>
      </c>
      <c r="B37" s="19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MOVIMIENTOS'!$E$3:$E$500="TraderLab")*('REGISTRO DE MOVIMIENTOS'!$H$3:$H$500))</f>
        <v/>
      </c>
      <c r="C37" s="19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MOVIMIENTOS'!$E$3:$E$500="TraderLab")*('REGISTRO DE MOVIMIENTOS'!$H$3:$H$500))</f>
        <v/>
      </c>
      <c r="D37" s="19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MOVIMIENTOS'!$E$3:$E$500="TraderLab")*('REGISTRO DE MOVIMIENTOS'!$H$3:$H$500))</f>
        <v/>
      </c>
      <c r="E37" s="19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MOVIMIENTOS'!$E$3:$E$500="TraderLab")*('REGISTRO DE MOVIMIENTOS'!$H$3:$H$500))</f>
        <v/>
      </c>
      <c r="F37" s="19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MOVIMIENTOS'!$E$3:$E$500="TraderLab")*('REGISTRO DE MOVIMIENTOS'!$H$3:$H$500))</f>
        <v/>
      </c>
      <c r="G37" s="19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MOVIMIENTOS'!$E$3:$E$500="TraderLab")*('REGISTRO DE MOVIMIENTOS'!$H$3:$H$500))</f>
        <v/>
      </c>
      <c r="H37" s="19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MOVIMIENTOS'!$E$3:$E$500="TraderLab")*('REGISTRO DE MOVIMIENTOS'!$H$3:$H$500))</f>
        <v/>
      </c>
      <c r="I37" s="19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MOVIMIENTOS'!$E$3:$E$500="TraderLab")*('REGISTRO DE MOVIMIENTOS'!$H$3:$H$500))</f>
        <v/>
      </c>
      <c r="J37" s="19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MOVIMIENTOS'!$E$3:$E$500="TraderLab")*('REGISTRO DE MOVIMIENTOS'!$H$3:$H$500))</f>
        <v/>
      </c>
      <c r="K37" s="19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MOVIMIENTOS'!$E$3:$E$500="TraderLab")*('REGISTRO DE MOVIMIENTOS'!$H$3:$H$500))</f>
        <v/>
      </c>
      <c r="L37" s="19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MOVIMIENTOS'!$E$3:$E$500="TraderLab")*('REGISTRO DE MOVIMIENTOS'!$H$3:$H$500))</f>
        <v/>
      </c>
      <c r="M37" s="19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MOVIMIENTOS'!$E$3:$E$500="TraderLab")*('REGISTRO DE MOVIMIENTOS'!$H$3:$H$500))</f>
        <v/>
      </c>
      <c r="N37" s="34">
        <f>SUM(B37:M37)</f>
        <v/>
      </c>
      <c r="O37" s="34">
        <f>IFERROR(N37/COUNTIF(B37:M37,"&gt;0"),0)</f>
        <v/>
      </c>
    </row>
    <row r="39">
      <c r="A39" s="3" t="inlineStr">
        <is>
          <t>RESUMEN FINAL POR MES</t>
        </is>
      </c>
    </row>
    <row r="40">
      <c r="A40" s="8" t="inlineStr">
        <is>
          <t>TOTAL GASTOS DEL MES</t>
        </is>
      </c>
      <c r="B40" s="19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MOVIMIENTOS'!$D$3:$D$500="Gasto")*('REGISTRO DE MOVIMIENTOS'!$H$3:$H$500))</f>
        <v/>
      </c>
      <c r="C40" s="19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MOVIMIENTOS'!$D$3:$D$500="Gasto")*('REGISTRO DE MOVIMIENTOS'!$H$3:$H$500))</f>
        <v/>
      </c>
      <c r="D40" s="19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MOVIMIENTOS'!$D$3:$D$500="Gasto")*('REGISTRO DE MOVIMIENTOS'!$H$3:$H$500))</f>
        <v/>
      </c>
      <c r="E40" s="19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MOVIMIENTOS'!$D$3:$D$500="Gasto")*('REGISTRO DE MOVIMIENTOS'!$H$3:$H$500))</f>
        <v/>
      </c>
      <c r="F40" s="19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MOVIMIENTOS'!$D$3:$D$500="Gasto")*('REGISTRO DE MOVIMIENTOS'!$H$3:$H$500))</f>
        <v/>
      </c>
      <c r="G40" s="19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MOVIMIENTOS'!$D$3:$D$500="Gasto")*('REGISTRO DE MOVIMIENTOS'!$H$3:$H$500))</f>
        <v/>
      </c>
      <c r="H40" s="19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MOVIMIENTOS'!$D$3:$D$500="Gasto")*('REGISTRO DE MOVIMIENTOS'!$H$3:$H$500))</f>
        <v/>
      </c>
      <c r="I40" s="19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MOVIMIENTOS'!$D$3:$D$500="Gasto")*('REGISTRO DE MOVIMIENTOS'!$H$3:$H$500))</f>
        <v/>
      </c>
      <c r="J40" s="19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MOVIMIENTOS'!$D$3:$D$500="Gasto")*('REGISTRO DE MOVIMIENTOS'!$H$3:$H$500))</f>
        <v/>
      </c>
      <c r="K40" s="19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MOVIMIENTOS'!$D$3:$D$500="Gasto")*('REGISTRO DE MOVIMIENTOS'!$H$3:$H$500))</f>
        <v/>
      </c>
      <c r="L40" s="19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MOVIMIENTOS'!$D$3:$D$500="Gasto")*('REGISTRO DE MOVIMIENTOS'!$H$3:$H$500))</f>
        <v/>
      </c>
      <c r="M40" s="19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MOVIMIENTOS'!$D$3:$D$500="Gasto")*('REGISTRO DE MOVIMIENTOS'!$H$3:$H$500))</f>
        <v/>
      </c>
      <c r="N40" s="32">
        <f>SUM(B40:M40)</f>
        <v/>
      </c>
      <c r="O40" s="32">
        <f>IFERROR(N40/12,0)</f>
        <v/>
      </c>
    </row>
    <row r="41">
      <c r="A41" s="9" t="inlineStr">
        <is>
          <t>TOTAL INGRESOS DEL MES</t>
        </is>
      </c>
      <c r="B41" s="17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MOVIMIENTOS'!$D$3:$D$500="Ingreso")*('REGISTRO DE MOVIMIENTOS'!$H$3:$H$500))</f>
        <v/>
      </c>
      <c r="C41" s="17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MOVIMIENTOS'!$D$3:$D$500="Ingreso")*('REGISTRO DE MOVIMIENTOS'!$H$3:$H$500))</f>
        <v/>
      </c>
      <c r="D41" s="17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MOVIMIENTOS'!$D$3:$D$500="Ingreso")*('REGISTRO DE MOVIMIENTOS'!$H$3:$H$500))</f>
        <v/>
      </c>
      <c r="E41" s="17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MOVIMIENTOS'!$D$3:$D$500="Ingreso")*('REGISTRO DE MOVIMIENTOS'!$H$3:$H$500))</f>
        <v/>
      </c>
      <c r="F41" s="17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MOVIMIENTOS'!$D$3:$D$500="Ingreso")*('REGISTRO DE MOVIMIENTOS'!$H$3:$H$500))</f>
        <v/>
      </c>
      <c r="G41" s="17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MOVIMIENTOS'!$D$3:$D$500="Ingreso")*('REGISTRO DE MOVIMIENTOS'!$H$3:$H$500))</f>
        <v/>
      </c>
      <c r="H41" s="17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MOVIMIENTOS'!$D$3:$D$500="Ingreso")*('REGISTRO DE MOVIMIENTOS'!$H$3:$H$500))</f>
        <v/>
      </c>
      <c r="I41" s="17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MOVIMIENTOS'!$D$3:$D$500="Ingreso")*('REGISTRO DE MOVIMIENTOS'!$H$3:$H$500))</f>
        <v/>
      </c>
      <c r="J41" s="17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MOVIMIENTOS'!$D$3:$D$500="Ingreso")*('REGISTRO DE MOVIMIENTOS'!$H$3:$H$500))</f>
        <v/>
      </c>
      <c r="K41" s="17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MOVIMIENTOS'!$D$3:$D$500="Ingreso")*('REGISTRO DE MOVIMIENTOS'!$H$3:$H$500))</f>
        <v/>
      </c>
      <c r="L41" s="17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MOVIMIENTOS'!$D$3:$D$500="Ingreso")*('REGISTRO DE MOVIMIENTOS'!$H$3:$H$500))</f>
        <v/>
      </c>
      <c r="M41" s="17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MOVIMIENTOS'!$D$3:$D$500="Ingreso")*('REGISTRO DE MOVIMIENTOS'!$H$3:$H$500))</f>
        <v/>
      </c>
      <c r="N41" s="33">
        <f>SUM(B41:M41)</f>
        <v/>
      </c>
      <c r="O41" s="33">
        <f>IFERROR(N41/12,0)</f>
        <v/>
      </c>
    </row>
    <row r="42">
      <c r="A42" s="4" t="inlineStr">
        <is>
          <t>AHORRO REAL (Ingresos - Gastos)</t>
        </is>
      </c>
      <c r="B42" s="21">
        <f>B41-B40</f>
        <v/>
      </c>
      <c r="C42" s="21">
        <f>C41-C40</f>
        <v/>
      </c>
      <c r="D42" s="21">
        <f>D41-D40</f>
        <v/>
      </c>
      <c r="E42" s="21">
        <f>E41-E40</f>
        <v/>
      </c>
      <c r="F42" s="21">
        <f>F41-F40</f>
        <v/>
      </c>
      <c r="G42" s="21">
        <f>G41-G40</f>
        <v/>
      </c>
      <c r="H42" s="21">
        <f>H41-H40</f>
        <v/>
      </c>
      <c r="I42" s="21">
        <f>I41-I40</f>
        <v/>
      </c>
      <c r="J42" s="21">
        <f>J41-J40</f>
        <v/>
      </c>
      <c r="K42" s="21">
        <f>K41-K40</f>
        <v/>
      </c>
      <c r="L42" s="21">
        <f>L41-L40</f>
        <v/>
      </c>
      <c r="M42" s="21">
        <f>M41-M40</f>
        <v/>
      </c>
      <c r="N42" s="21">
        <f>SUM(B42:M42)</f>
        <v/>
      </c>
      <c r="O42" s="21">
        <f>IFERROR(N42/12,0)</f>
        <v/>
      </c>
    </row>
    <row r="43">
      <c r="A43" s="9" t="inlineStr">
        <is>
          <t>% Ahorro real / Ingresos</t>
        </is>
      </c>
      <c r="B43" s="18">
        <f>IFERROR(B42/B41,0)</f>
        <v/>
      </c>
      <c r="C43" s="18">
        <f>IFERROR(C42/C41,0)</f>
        <v/>
      </c>
      <c r="D43" s="18">
        <f>IFERROR(D42/D41,0)</f>
        <v/>
      </c>
      <c r="E43" s="18">
        <f>IFERROR(E42/E41,0)</f>
        <v/>
      </c>
      <c r="F43" s="18">
        <f>IFERROR(F42/F41,0)</f>
        <v/>
      </c>
      <c r="G43" s="18">
        <f>IFERROR(G42/G41,0)</f>
        <v/>
      </c>
      <c r="H43" s="18">
        <f>IFERROR(H42/H41,0)</f>
        <v/>
      </c>
      <c r="I43" s="18">
        <f>IFERROR(I42/I41,0)</f>
        <v/>
      </c>
      <c r="J43" s="18">
        <f>IFERROR(J42/J41,0)</f>
        <v/>
      </c>
      <c r="K43" s="18">
        <f>IFERROR(K42/K41,0)</f>
        <v/>
      </c>
      <c r="L43" s="18">
        <f>IFERROR(L42/L41,0)</f>
        <v/>
      </c>
      <c r="M43" s="18">
        <f>IFERROR(M42/M41,0)</f>
        <v/>
      </c>
      <c r="N43" s="18">
        <f>IFERROR(N42/N41,0)</f>
        <v/>
      </c>
      <c r="O43" s="18">
        <f>IFERROR(AVERAGE(B43:M43),0)</f>
        <v/>
      </c>
    </row>
  </sheetData>
  <mergeCells count="7">
    <mergeCell ref="A2:O2"/>
    <mergeCell ref="A19:O19"/>
    <mergeCell ref="A11:O11"/>
    <mergeCell ref="A1:O1"/>
    <mergeCell ref="A5:O5"/>
    <mergeCell ref="A34:O34"/>
    <mergeCell ref="A39:O39"/>
  </mergeCells>
  <conditionalFormatting sqref="B42:M42">
    <cfRule type="cellIs" priority="1" operator="greaterThan" dxfId="2">
      <formula>0</formula>
    </cfRule>
    <cfRule type="cellIs" priority="2" operator="lessThanOrEqual" dxfId="0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I1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2" customWidth="1" min="4" max="4"/>
    <col width="12" customWidth="1" min="5" max="5"/>
    <col width="15" customWidth="1" min="6" max="6"/>
    <col width="14" customWidth="1" min="7" max="7"/>
    <col width="2" customWidth="1" min="8" max="8"/>
  </cols>
  <sheetData>
    <row r="1" ht="30" customHeight="1">
      <c r="A1" s="1" t="inlineStr">
        <is>
          <t>RANKING DE MEJORES MESES - TOP 5 HISTORICO</t>
        </is>
      </c>
    </row>
    <row r="3">
      <c r="A3" s="1" t="inlineStr">
        <is>
          <t>MEJORES MESES - INGRESOS</t>
        </is>
      </c>
      <c r="D3" s="1" t="inlineStr">
        <is>
          <t>MEJORES MESES - AHORRO</t>
        </is>
      </c>
      <c r="G3" s="1" t="inlineStr">
        <is>
          <t>MEJORES MESES - TRADING</t>
        </is>
      </c>
    </row>
    <row r="4">
      <c r="A4" s="7" t="inlineStr">
        <is>
          <t>Posicion</t>
        </is>
      </c>
      <c r="B4" s="7" t="inlineStr">
        <is>
          <t>Mes</t>
        </is>
      </c>
      <c r="C4" s="7" t="inlineStr">
        <is>
          <t>Importe</t>
        </is>
      </c>
      <c r="D4" s="7" t="inlineStr">
        <is>
          <t>Posicion</t>
        </is>
      </c>
      <c r="E4" s="7" t="inlineStr">
        <is>
          <t>Mes</t>
        </is>
      </c>
      <c r="F4" s="7" t="inlineStr">
        <is>
          <t>Importe</t>
        </is>
      </c>
      <c r="G4" s="7" t="inlineStr">
        <is>
          <t>Posicion</t>
        </is>
      </c>
      <c r="H4" s="7" t="inlineStr">
        <is>
          <t>Mes</t>
        </is>
      </c>
      <c r="I4" s="7" t="inlineStr">
        <is>
          <t>Importe</t>
        </is>
      </c>
    </row>
    <row r="5">
      <c r="A5" s="2" t="inlineStr">
        <is>
          <t>1ro</t>
        </is>
      </c>
      <c r="B5" s="2" t="inlineStr">
        <is>
          <t>-</t>
        </is>
      </c>
      <c r="C5" s="35" t="n">
        <v>0</v>
      </c>
      <c r="D5" s="2" t="inlineStr">
        <is>
          <t>1ro</t>
        </is>
      </c>
      <c r="E5" s="2" t="inlineStr">
        <is>
          <t>-</t>
        </is>
      </c>
      <c r="F5" s="35" t="n">
        <v>0</v>
      </c>
      <c r="G5" s="2" t="inlineStr">
        <is>
          <t>1ro</t>
        </is>
      </c>
      <c r="H5" s="2" t="inlineStr">
        <is>
          <t>-</t>
        </is>
      </c>
      <c r="I5" s="35" t="n">
        <v>0</v>
      </c>
    </row>
    <row r="6">
      <c r="A6" s="5" t="inlineStr">
        <is>
          <t>2do</t>
        </is>
      </c>
      <c r="B6" s="5" t="inlineStr">
        <is>
          <t>-</t>
        </is>
      </c>
      <c r="C6" s="36" t="n">
        <v>0</v>
      </c>
      <c r="D6" s="5" t="inlineStr">
        <is>
          <t>2do</t>
        </is>
      </c>
      <c r="E6" s="5" t="inlineStr">
        <is>
          <t>-</t>
        </is>
      </c>
      <c r="F6" s="36" t="n">
        <v>0</v>
      </c>
      <c r="G6" s="5" t="inlineStr">
        <is>
          <t>2do</t>
        </is>
      </c>
      <c r="H6" s="5" t="inlineStr">
        <is>
          <t>-</t>
        </is>
      </c>
      <c r="I6" s="36" t="n">
        <v>0</v>
      </c>
    </row>
    <row r="7">
      <c r="A7" s="10" t="inlineStr">
        <is>
          <t>3ro</t>
        </is>
      </c>
      <c r="B7" s="10" t="inlineStr">
        <is>
          <t>-</t>
        </is>
      </c>
      <c r="C7" s="37" t="n">
        <v>0</v>
      </c>
      <c r="D7" s="10" t="inlineStr">
        <is>
          <t>3ro</t>
        </is>
      </c>
      <c r="E7" s="10" t="inlineStr">
        <is>
          <t>-</t>
        </is>
      </c>
      <c r="F7" s="37" t="n">
        <v>0</v>
      </c>
      <c r="G7" s="10" t="inlineStr">
        <is>
          <t>3ro</t>
        </is>
      </c>
      <c r="H7" s="10" t="inlineStr">
        <is>
          <t>-</t>
        </is>
      </c>
      <c r="I7" s="37" t="n">
        <v>0</v>
      </c>
    </row>
    <row r="8">
      <c r="A8" s="5" t="inlineStr">
        <is>
          <t>4to</t>
        </is>
      </c>
      <c r="B8" s="5" t="inlineStr">
        <is>
          <t>-</t>
        </is>
      </c>
      <c r="C8" s="36" t="n">
        <v>0</v>
      </c>
      <c r="D8" s="5" t="inlineStr">
        <is>
          <t>4to</t>
        </is>
      </c>
      <c r="E8" s="5" t="inlineStr">
        <is>
          <t>-</t>
        </is>
      </c>
      <c r="F8" s="36" t="n">
        <v>0</v>
      </c>
      <c r="G8" s="5" t="inlineStr">
        <is>
          <t>4to</t>
        </is>
      </c>
      <c r="H8" s="5" t="inlineStr">
        <is>
          <t>-</t>
        </is>
      </c>
      <c r="I8" s="36" t="n">
        <v>0</v>
      </c>
    </row>
    <row r="9">
      <c r="A9" s="10" t="inlineStr">
        <is>
          <t>5to</t>
        </is>
      </c>
      <c r="B9" s="10" t="inlineStr">
        <is>
          <t>-</t>
        </is>
      </c>
      <c r="C9" s="37" t="n">
        <v>0</v>
      </c>
      <c r="D9" s="10" t="inlineStr">
        <is>
          <t>5to</t>
        </is>
      </c>
      <c r="E9" s="10" t="inlineStr">
        <is>
          <t>-</t>
        </is>
      </c>
      <c r="F9" s="37" t="n">
        <v>0</v>
      </c>
      <c r="G9" s="10" t="inlineStr">
        <is>
          <t>5to</t>
        </is>
      </c>
      <c r="H9" s="10" t="inlineStr">
        <is>
          <t>-</t>
        </is>
      </c>
      <c r="I9" s="37" t="n">
        <v>0</v>
      </c>
    </row>
    <row r="12">
      <c r="A12" s="10" t="inlineStr">
        <is>
          <t>NOTA: Actualiza manualmente los valores de este ranking con tus datos mensuales.</t>
        </is>
      </c>
    </row>
  </sheetData>
  <mergeCells count="5">
    <mergeCell ref="A1:I1"/>
    <mergeCell ref="D3:F3"/>
    <mergeCell ref="A3:C3"/>
    <mergeCell ref="G3:I3"/>
    <mergeCell ref="A12:I12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15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50" customWidth="1" min="2" max="2"/>
  </cols>
  <sheetData>
    <row r="1" ht="30" customHeight="1">
      <c r="A1" s="1" t="inlineStr">
        <is>
          <t>LIBERTAD FINANCIERA - COBERTURA CON TRADING</t>
        </is>
      </c>
    </row>
    <row r="3">
      <c r="A3" s="5" t="inlineStr">
        <is>
          <t>Gastos mensuales fijos</t>
        </is>
      </c>
      <c r="B3" s="19" t="n">
        <v>1575</v>
      </c>
    </row>
    <row r="4">
      <c r="A4" s="10" t="inlineStr">
        <is>
          <t>Beneficio medio mensual trading (editar)</t>
        </is>
      </c>
      <c r="B4" s="17">
        <f>IFERROR(SUM('DASHBOARD DE TRADING'!C3:C500)/MAX(1,COUNTA('DASHBOARD DE TRADING'!A3:A500)),0)</f>
        <v/>
      </c>
    </row>
    <row r="5">
      <c r="A5" s="4" t="inlineStr">
        <is>
          <t>% Cobertura actual</t>
        </is>
      </c>
      <c r="B5" s="22">
        <f>B4/B3</f>
        <v/>
      </c>
    </row>
    <row r="6">
      <c r="A6" s="10" t="inlineStr">
        <is>
          <t>Meses con datos de trading</t>
        </is>
      </c>
      <c r="B6" s="38" t="n">
        <v>0</v>
      </c>
    </row>
    <row r="8">
      <c r="A8" s="9" t="inlineStr">
        <is>
          <t>Progreso libertad financiera:</t>
        </is>
      </c>
      <c r="B8" s="10">
        <f>TEXT(MIN(B5,1),"0.0%")&amp;" de cobertura de gastos con trading"</f>
        <v/>
      </c>
    </row>
    <row r="9">
      <c r="A9" s="39" t="inlineStr">
        <is>
          <t>Estado actual:</t>
        </is>
      </c>
      <c r="B9" s="39">
        <f>"El trading cubre el "&amp;TEXT(B5,"0.0%")&amp;" de tus gastos mensuales fijos"</f>
        <v/>
      </c>
    </row>
    <row r="11">
      <c r="A11" s="1" t="inlineStr">
        <is>
          <t>HITOS DE LIBERTAD FINANCIERA</t>
        </is>
      </c>
    </row>
    <row r="12">
      <c r="A12" s="10" t="inlineStr">
        <is>
          <t>25%</t>
        </is>
      </c>
      <c r="B12" s="10" t="inlineStr">
        <is>
          <t>25% - Inicio del camino: trading cubre 1/4 de gastos</t>
        </is>
      </c>
    </row>
    <row r="13">
      <c r="A13" s="10" t="inlineStr">
        <is>
          <t>50%</t>
        </is>
      </c>
      <c r="B13" s="10" t="inlineStr">
        <is>
          <t>50% - Punto medio: trading cubre la mitad de gastos</t>
        </is>
      </c>
    </row>
    <row r="14">
      <c r="A14" s="10" t="inlineStr">
        <is>
          <t>75%</t>
        </is>
      </c>
      <c r="B14" s="10" t="inlineStr">
        <is>
          <t>75% - Casi libre: solo 25% depende del empleo</t>
        </is>
      </c>
    </row>
    <row r="15">
      <c r="A15" s="10" t="inlineStr">
        <is>
          <t>100%</t>
        </is>
      </c>
      <c r="B15" s="10" t="inlineStr">
        <is>
          <t>100% - LIBERTAD FINANCIERA: trading cubre todos los gastos</t>
        </is>
      </c>
    </row>
  </sheetData>
  <mergeCells count="2">
    <mergeCell ref="A1:D1"/>
    <mergeCell ref="A11:D11"/>
  </mergeCells>
  <pageMargins left="0.75" right="0.75" top="1" bottom="1" header="0.5" footer="0.5"/>
  <pageSetup orientation="landscape" fitToWidth="1"/>
</worksheet>
</file>

<file path=xl/worksheets/sheet16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0" customWidth="1" min="4" max="4"/>
    <col width="24" customWidth="1" min="5" max="5"/>
    <col width="20" customWidth="1" min="6" max="6"/>
  </cols>
  <sheetData>
    <row r="1" ht="30" customHeight="1">
      <c r="A1" s="1" t="inlineStr">
        <is>
          <t>PROYECCIONES FUTURAS - 1, 3 Y 5 ANOS</t>
        </is>
      </c>
    </row>
    <row r="3">
      <c r="A3" s="1" t="inlineStr">
        <is>
          <t>PARAMETROS DE ENTRADA (edita las celdas doradas)</t>
        </is>
      </c>
    </row>
    <row r="4">
      <c r="A4" s="9" t="inlineStr">
        <is>
          <t>Ingreso medio mensual neto</t>
        </is>
      </c>
      <c r="B4" s="25" t="n">
        <v>2000</v>
      </c>
    </row>
    <row r="5">
      <c r="A5" s="9" t="inlineStr">
        <is>
          <t>Ahorro fijo mensual (editar)</t>
        </is>
      </c>
      <c r="B5" s="25" t="n">
        <v>100</v>
      </c>
    </row>
    <row r="6">
      <c r="A6" s="9" t="inlineStr">
        <is>
          <t>Bankroll fijo mensual (editar)</t>
        </is>
      </c>
      <c r="B6" s="25" t="n">
        <v>100</v>
      </c>
    </row>
    <row r="7">
      <c r="A7" s="9" t="inlineStr">
        <is>
          <t>Beneficio medio mensual trading</t>
        </is>
      </c>
      <c r="B7" s="25" t="n">
        <v>0</v>
      </c>
    </row>
    <row r="8">
      <c r="A8" s="9" t="inlineStr">
        <is>
          <t>Rentabilidad anual inversion %</t>
        </is>
      </c>
      <c r="B8" s="27" t="n">
        <v>0.05</v>
      </c>
    </row>
    <row r="10">
      <c r="A10" s="1" t="inlineStr">
        <is>
          <t>TABLA DE PROYECCIONES</t>
        </is>
      </c>
    </row>
    <row r="11">
      <c r="A11" s="7" t="inlineStr">
        <is>
          <t>Anio</t>
        </is>
      </c>
      <c r="B11" s="7" t="inlineStr">
        <is>
          <t>Ahorro Acum. (EUR)</t>
        </is>
      </c>
      <c r="C11" s="7" t="inlineStr">
        <is>
          <t>Bankroll (EUR)</t>
        </is>
      </c>
      <c r="D11" s="7" t="inlineStr">
        <is>
          <t>Patrimonio Total (EUR)</t>
        </is>
      </c>
      <c r="E11" s="7" t="inlineStr">
        <is>
          <t>Benef. Trading Acum. (EUR)</t>
        </is>
      </c>
      <c r="F11" s="7" t="inlineStr">
        <is>
          <t>Libertad Fin. %</t>
        </is>
      </c>
    </row>
    <row r="12">
      <c r="A12" s="8" t="inlineStr">
        <is>
          <t>Anio 1</t>
        </is>
      </c>
      <c r="B12" s="19">
        <f>$B$5*12*1</f>
        <v/>
      </c>
      <c r="C12" s="19">
        <f>$B$6*12*1</f>
        <v/>
      </c>
      <c r="D12" s="19">
        <f>B12+C12</f>
        <v/>
      </c>
      <c r="E12" s="19">
        <f>$B$7*12*1</f>
        <v/>
      </c>
      <c r="F12" s="20">
        <f>IFERROR($B$7/1575,0)</f>
        <v/>
      </c>
    </row>
    <row r="13">
      <c r="A13" s="9" t="inlineStr">
        <is>
          <t>Anio 2</t>
        </is>
      </c>
      <c r="B13" s="17">
        <f>$B$5*12*2</f>
        <v/>
      </c>
      <c r="C13" s="17">
        <f>$B$6*12*2</f>
        <v/>
      </c>
      <c r="D13" s="17">
        <f>B13+C13</f>
        <v/>
      </c>
      <c r="E13" s="17">
        <f>$B$7*12*2</f>
        <v/>
      </c>
      <c r="F13" s="18">
        <f>IFERROR($B$7/1575,0)</f>
        <v/>
      </c>
    </row>
    <row r="14">
      <c r="A14" s="8" t="inlineStr">
        <is>
          <t>Anio 3</t>
        </is>
      </c>
      <c r="B14" s="19">
        <f>$B$5*12*3</f>
        <v/>
      </c>
      <c r="C14" s="19">
        <f>$B$6*12*3</f>
        <v/>
      </c>
      <c r="D14" s="19">
        <f>B14+C14</f>
        <v/>
      </c>
      <c r="E14" s="19">
        <f>$B$7*12*3</f>
        <v/>
      </c>
      <c r="F14" s="20">
        <f>IFERROR($B$7/1575,0)</f>
        <v/>
      </c>
    </row>
    <row r="15">
      <c r="A15" s="9" t="inlineStr">
        <is>
          <t>Anio 4</t>
        </is>
      </c>
      <c r="B15" s="17">
        <f>$B$5*12*4</f>
        <v/>
      </c>
      <c r="C15" s="17">
        <f>$B$6*12*4</f>
        <v/>
      </c>
      <c r="D15" s="17">
        <f>B15+C15</f>
        <v/>
      </c>
      <c r="E15" s="17">
        <f>$B$7*12*4</f>
        <v/>
      </c>
      <c r="F15" s="18">
        <f>IFERROR($B$7/1575,0)</f>
        <v/>
      </c>
    </row>
    <row r="16">
      <c r="A16" s="8" t="inlineStr">
        <is>
          <t>Anio 5</t>
        </is>
      </c>
      <c r="B16" s="19">
        <f>$B$5*12*5</f>
        <v/>
      </c>
      <c r="C16" s="19">
        <f>$B$6*12*5</f>
        <v/>
      </c>
      <c r="D16" s="19">
        <f>B16+C16</f>
        <v/>
      </c>
      <c r="E16" s="19">
        <f>$B$7*12*5</f>
        <v/>
      </c>
      <c r="F16" s="20">
        <f>IFERROR($B$7/1575,0)</f>
        <v/>
      </c>
    </row>
  </sheetData>
  <mergeCells count="3">
    <mergeCell ref="A3:F3"/>
    <mergeCell ref="A1:F1"/>
    <mergeCell ref="A10:F10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D17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30" customWidth="1" min="3" max="3"/>
    <col width="18" customWidth="1" min="4" max="4"/>
  </cols>
  <sheetData>
    <row r="1" ht="30" customHeight="1">
      <c r="A1" s="1" t="inlineStr">
        <is>
          <t>SCORE DEL TRADER - EVALUACION INTEGRAL 0-100</t>
        </is>
      </c>
    </row>
    <row r="3">
      <c r="A3" s="1" t="inlineStr">
        <is>
          <t>COMPONENTES DEL SCORE</t>
        </is>
      </c>
    </row>
    <row r="4">
      <c r="A4" s="7" t="inlineStr">
        <is>
          <t>Componente</t>
        </is>
      </c>
      <c r="B4" s="7" t="inlineStr">
        <is>
          <t>Peso</t>
        </is>
      </c>
      <c r="C4" s="7" t="inlineStr">
        <is>
          <t>Descripcion</t>
        </is>
      </c>
      <c r="D4" s="7" t="inlineStr">
        <is>
          <t>Puntos (max 20)</t>
        </is>
      </c>
    </row>
    <row r="5">
      <c r="A5" s="9" t="inlineStr">
        <is>
          <t>Cumplimiento Ahorro</t>
        </is>
      </c>
      <c r="B5" s="24" t="inlineStr">
        <is>
          <t>20 pts</t>
        </is>
      </c>
      <c r="C5" s="10" t="inlineStr">
        <is>
          <t>Actualiza con % cumplimiento ahorro</t>
        </is>
      </c>
      <c r="D5" s="31" t="n">
        <v>0</v>
      </c>
    </row>
    <row r="6">
      <c r="A6" s="8" t="inlineStr">
        <is>
          <t>Cumplimiento Bankroll</t>
        </is>
      </c>
      <c r="B6" s="23" t="inlineStr">
        <is>
          <t>20 pts</t>
        </is>
      </c>
      <c r="C6" s="5" t="inlineStr">
        <is>
          <t>Actualiza con % cumplimiento bankroll</t>
        </is>
      </c>
      <c r="D6" s="40" t="n">
        <v>0</v>
      </c>
    </row>
    <row r="7">
      <c r="A7" s="9" t="inlineStr">
        <is>
          <t>Control de Gastos</t>
        </is>
      </c>
      <c r="B7" s="24" t="inlineStr">
        <is>
          <t>20 pts</t>
        </is>
      </c>
      <c r="C7" s="10" t="inlineStr">
        <is>
          <t>Actualiza segun control de gastos</t>
        </is>
      </c>
      <c r="D7" s="31" t="n">
        <v>0</v>
      </c>
    </row>
    <row r="8">
      <c r="A8" s="8" t="inlineStr">
        <is>
          <t>Crecimiento Patrimonio</t>
        </is>
      </c>
      <c r="B8" s="23" t="inlineStr">
        <is>
          <t>20 pts</t>
        </is>
      </c>
      <c r="C8" s="5" t="inlineStr">
        <is>
          <t>Actualiza con crecimiento patrimonio</t>
        </is>
      </c>
      <c r="D8" s="40" t="n">
        <v>0</v>
      </c>
    </row>
    <row r="9">
      <c r="A9" s="9" t="inlineStr">
        <is>
          <t>Resultados Trading</t>
        </is>
      </c>
      <c r="B9" s="24" t="inlineStr">
        <is>
          <t>20 pts</t>
        </is>
      </c>
      <c r="C9" s="10" t="inlineStr">
        <is>
          <t>Actualiza con resultados de trading</t>
        </is>
      </c>
      <c r="D9" s="31" t="n">
        <v>0</v>
      </c>
    </row>
    <row r="10">
      <c r="A10" s="2" t="inlineStr">
        <is>
          <t>SCORE TOTAL DEL TRADER (sobre 100)</t>
        </is>
      </c>
      <c r="D10" s="41">
        <f>ROUND(SUM(D5:D9),1)</f>
        <v/>
      </c>
    </row>
    <row r="12">
      <c r="A12" s="1" t="inlineStr">
        <is>
          <t>SEMAFORO DE EVALUACION</t>
        </is>
      </c>
    </row>
    <row r="13" ht="18" customHeight="1">
      <c r="A13" s="11" t="inlineStr">
        <is>
          <t>SCORE &gt;= 70 - EXCELENTE: Vas por buen camino, manten el ritmo</t>
        </is>
      </c>
    </row>
    <row r="14" ht="18" customHeight="1">
      <c r="A14" s="2" t="inlineStr">
        <is>
          <t>SCORE 40-69 - MEJORABLE: Hay areas que necesitan atencion</t>
        </is>
      </c>
    </row>
    <row r="15" ht="18" customHeight="1">
      <c r="A15" s="12" t="inlineStr">
        <is>
          <t>SCORE &lt; 40 - ALERTA: Revisa tu estrategia financiera</t>
        </is>
      </c>
    </row>
    <row r="17">
      <c r="A17" s="9" t="inlineStr">
        <is>
          <t>Tu evaluacion:</t>
        </is>
      </c>
      <c r="B17" s="2">
        <f>IF(D10&gt;=70,"EXCELENTE - Score: "&amp;TEXT(D10,"0.0")&amp;"/100",IF(D10&gt;=40,"MEJORABLE - Score: "&amp;TEXT(D10,"0.0")&amp;"/100","ALERTA - Score: "&amp;TEXT(D10,"0.0")&amp;"/100"))</f>
        <v/>
      </c>
    </row>
  </sheetData>
  <mergeCells count="8">
    <mergeCell ref="A10:C10"/>
    <mergeCell ref="A1:D1"/>
    <mergeCell ref="A12:D12"/>
    <mergeCell ref="A3:D3"/>
    <mergeCell ref="B17:D17"/>
    <mergeCell ref="A15:D15"/>
    <mergeCell ref="A13:D13"/>
    <mergeCell ref="A14:D14"/>
  </mergeCells>
  <pageMargins left="0.75" right="0.75" top="1" bottom="1" header="0.5" footer="0.5"/>
  <pageSetup orientation="landscape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A25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Nomina</t>
        </is>
      </c>
    </row>
    <row r="2">
      <c r="A2" t="inlineStr">
        <is>
          <t>Trading/Payout</t>
        </is>
      </c>
    </row>
    <row r="3">
      <c r="A3" t="inlineStr">
        <is>
          <t>Otro ingreso</t>
        </is>
      </c>
    </row>
    <row r="4">
      <c r="A4" t="inlineStr">
        <is>
          <t>Vivienda/Alquiler</t>
        </is>
      </c>
    </row>
    <row r="5">
      <c r="A5" t="inlineStr">
        <is>
          <t>Coche/Transporte</t>
        </is>
      </c>
    </row>
    <row r="6">
      <c r="A6" t="inlineStr">
        <is>
          <t>Gasolina</t>
        </is>
      </c>
    </row>
    <row r="7">
      <c r="A7" t="inlineStr">
        <is>
          <t>Parking</t>
        </is>
      </c>
    </row>
    <row r="8">
      <c r="A8" t="inlineStr">
        <is>
          <t>Supermercado</t>
        </is>
      </c>
    </row>
    <row r="9">
      <c r="A9" t="inlineStr">
        <is>
          <t>Restaurante</t>
        </is>
      </c>
    </row>
    <row r="10">
      <c r="A10" t="inlineStr">
        <is>
          <t>Cafeteria/Bar</t>
        </is>
      </c>
    </row>
    <row r="11">
      <c r="A11" t="inlineStr">
        <is>
          <t>Peluqueria/Estetica</t>
        </is>
      </c>
    </row>
    <row r="12">
      <c r="A12" t="inlineStr">
        <is>
          <t>Farmacia/Salud</t>
        </is>
      </c>
    </row>
    <row r="13">
      <c r="A13" t="inlineStr">
        <is>
          <t>Deporte/Gimnasio</t>
        </is>
      </c>
    </row>
    <row r="14">
      <c r="A14" t="inlineStr">
        <is>
          <t>Ropa/Calzado</t>
        </is>
      </c>
    </row>
    <row r="15">
      <c r="A15" t="inlineStr">
        <is>
          <t>Electronica/Amazon</t>
        </is>
      </c>
    </row>
    <row r="16">
      <c r="A16" t="inlineStr">
        <is>
          <t>Hogar</t>
        </is>
      </c>
    </row>
    <row r="17">
      <c r="A17" t="inlineStr">
        <is>
          <t>Ocio/Entretenimiento</t>
        </is>
      </c>
    </row>
    <row r="18">
      <c r="A18" t="inlineStr">
        <is>
          <t>Viajes/Vacaciones</t>
        </is>
      </c>
    </row>
    <row r="19">
      <c r="A19" t="inlineStr">
        <is>
          <t>Formacion/Suscripciones</t>
        </is>
      </c>
    </row>
    <row r="20">
      <c r="A20" t="inlineStr">
        <is>
          <t>TraderLab</t>
        </is>
      </c>
    </row>
    <row r="21">
      <c r="A21" t="inlineStr">
        <is>
          <t>Software/Apps</t>
        </is>
      </c>
    </row>
    <row r="22">
      <c r="A22" t="inlineStr">
        <is>
          <t>Ahorro</t>
        </is>
      </c>
    </row>
    <row r="23">
      <c r="A23" t="inlineStr">
        <is>
          <t>Bankroll</t>
        </is>
      </c>
    </row>
    <row r="24">
      <c r="A24" t="inlineStr">
        <is>
          <t>Transferencia</t>
        </is>
      </c>
    </row>
    <row r="25">
      <c r="A25" t="inlineStr">
        <is>
          <t>Otros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2026-07-05T08:22:36Z</dcterms:created>
  <dcterms:modified xsi:type="dcterms:W3CDTF">2026-07-05T08:22:36Z</dcterms:modified>
</cp:coreProperties>
</file>